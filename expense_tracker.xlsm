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pivotCache/pivotCacheDefinition2.xml" ContentType="application/vnd.openxmlformats-officedocument.spreadsheetml.pivotCacheDefinition+xml"/>
  <Override PartName="/xl/pivotCache/pivotCacheRecords2.xml" ContentType="application/vnd.openxmlformats-officedocument.spreadsheetml.pivotCacheRecords+xml"/>
  <Override PartName="/xl/slicerCaches/slicerCache1.xml" ContentType="application/vnd.ms-excel.slicerCache+xml"/>
  <Override PartName="/xl/slicerCaches/slicerCache2.xml" ContentType="application/vnd.ms-excel.slicer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slicers/slicer1.xml" ContentType="application/vnd.ms-excel.slicer+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chart4.xml" ContentType="application/vnd.openxmlformats-officedocument.drawingml.chart+xml"/>
  <Override PartName="/xl/charts/style3.xml" ContentType="application/vnd.ms-office.chartstyle+xml"/>
  <Override PartName="/xl/charts/colors3.xml" ContentType="application/vnd.ms-office.chartcolorstyle+xml"/>
  <Override PartName="/xl/webextensions/webextension1.xml" ContentType="application/vnd.ms-office.webextension+xml"/>
  <Override PartName="/xl/tables/table1.xml" ContentType="application/vnd.openxmlformats-officedocument.spreadsheetml.table+xml"/>
  <Override PartName="/xl/pivotTables/pivotTable1.xml" ContentType="application/vnd.openxmlformats-officedocument.spreadsheetml.pivotTable+xml"/>
  <Override PartName="/xl/pivotTables/pivotTable2.xml" ContentType="application/vnd.openxmlformats-officedocument.spreadsheetml.pivotTable+xml"/>
  <Override PartName="/xl/pivotTables/pivotTable3.xml" ContentType="application/vnd.openxmlformats-officedocument.spreadsheetml.pivotTable+xml"/>
  <Override PartName="/xl/drawings/drawing2.xml" ContentType="application/vnd.openxmlformats-officedocument.drawing+xml"/>
  <Override PartName="/xl/slicers/slicer2.xml" ContentType="application/vnd.ms-excel.slicer+xml"/>
  <Override PartName="/xl/pivotTables/pivotTable4.xml" ContentType="application/vnd.openxmlformats-officedocument.spreadsheetml.pivotTable+xml"/>
  <Override PartName="/xl/drawings/drawing3.xml" ContentType="application/vnd.openxmlformats-officedocument.drawing+xml"/>
  <Override PartName="/xl/slicers/slicer3.xml" ContentType="application/vnd.ms-excel.slicer+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7628" codeName="{60716B99-48EF-4627-542C-1B4CF24DBC83}"/>
  <workbookPr codeName="ThisWorkbook" hidePivotFieldList="1"/>
  <mc:AlternateContent xmlns:mc="http://schemas.openxmlformats.org/markup-compatibility/2006">
    <mc:Choice Requires="x15">
      <x15ac:absPath xmlns:x15ac="http://schemas.microsoft.com/office/spreadsheetml/2010/11/ac" url="https://d.docs.live.net/a5f37b09cdf968da/Desktop/Analiza danych/Projekty/Excel/Expense Tracker/"/>
    </mc:Choice>
  </mc:AlternateContent>
  <xr:revisionPtr revIDLastSave="1075" documentId="8_{A5AE6DE3-89EB-4D46-8DBB-D7A46F72F0FE}" xr6:coauthVersionLast="47" xr6:coauthVersionMax="47" xr10:uidLastSave="{90B84919-B323-40FF-8C52-6524F0B512A0}"/>
  <bookViews>
    <workbookView xWindow="-108" yWindow="-108" windowWidth="23256" windowHeight="12456" tabRatio="788" xr2:uid="{D9F86198-8757-44A1-A292-63A760CABE12}"/>
  </bookViews>
  <sheets>
    <sheet name="Dashboard" sheetId="11" r:id="rId1"/>
    <sheet name="Data" sheetId="2" r:id="rId2"/>
    <sheet name="Settings" sheetId="3" r:id="rId3"/>
    <sheet name="Pie - total IN.OUT" sheetId="12" state="hidden" r:id="rId4"/>
    <sheet name="Line - total IN.OUT" sheetId="4" state="hidden" r:id="rId5"/>
    <sheet name="Bar - cat. by month" sheetId="9" state="hidden" r:id="rId6"/>
    <sheet name="Bar - monthly expense" sheetId="6" state="hidden" r:id="rId7"/>
  </sheets>
  <definedNames>
    <definedName name="Beauty">Settings!$E$3:$E$12</definedName>
    <definedName name="Dog">Settings!$I$3:$I$12</definedName>
    <definedName name="Expense">Settings!$B$15:$B$28</definedName>
    <definedName name="Fashion">Settings!$J$3:$J$12</definedName>
    <definedName name="Food">Settings!$D$3:$D$12</definedName>
    <definedName name="Gifts">Settings!$M$3:$M$12</definedName>
    <definedName name="Health">Settings!$L$3:$L$12</definedName>
    <definedName name="Housing">Settings!$A$3:$A$12</definedName>
    <definedName name="Income">Settings!$A$15:$A$18</definedName>
    <definedName name="Investments">Settings!$N$3:$N$12</definedName>
    <definedName name="Lifestyle">Settings!$G$3:$G$12</definedName>
    <definedName name="Salary">Settings!$O$3:$O$6</definedName>
    <definedName name="Slicer_CATEGORY">#N/A</definedName>
    <definedName name="Slicer_Months__DATE">#N/A</definedName>
    <definedName name="Subscriptions">Settings!$K$3:$K$12</definedName>
    <definedName name="Transportation">Settings!$B$3:$B$12</definedName>
    <definedName name="Travel">Settings!$H$3:$H$12</definedName>
    <definedName name="Utilities">Settings!$C$3:$C$12</definedName>
    <definedName name="Wants">Settings!$F$3:$F$12</definedName>
  </definedNames>
  <calcPr calcId="191028"/>
  <pivotCaches>
    <pivotCache cacheId="0" r:id="rId8"/>
    <pivotCache cacheId="1" r:id="rId9"/>
  </pivotCaches>
  <extLst>
    <ext xmlns:x14="http://schemas.microsoft.com/office/spreadsheetml/2009/9/main" uri="{BBE1A952-AA13-448e-AADC-164F8A28A991}">
      <x14:slicerCaches>
        <x14:slicerCache r:id="rId10"/>
        <x14:slicerCache r:id="rId11"/>
      </x14:slicerCaches>
    </ext>
    <ext xmlns:x14="http://schemas.microsoft.com/office/spreadsheetml/2009/9/main" uri="{79F54976-1DA5-4618-B147-4CDE4B953A38}">
      <x14:workbookPr/>
    </ex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G19" i="3" l="1"/>
  <c r="G18" i="3"/>
  <c r="G17" i="3"/>
  <c r="G16" i="3"/>
  <c r="G15" i="3"/>
  <c r="N3" i="11"/>
  <c r="R3" i="11"/>
  <c r="J3" i="11" l="1"/>
  <c r="U3" i="11" s="1"/>
</calcChain>
</file>

<file path=xl/sharedStrings.xml><?xml version="1.0" encoding="utf-8"?>
<sst xmlns="http://schemas.openxmlformats.org/spreadsheetml/2006/main" count="420" uniqueCount="131">
  <si>
    <t>EXPENSE TRACKER 2024</t>
  </si>
  <si>
    <t>NEW TRANSACTION</t>
  </si>
  <si>
    <t>TOTAL
BALANCE</t>
  </si>
  <si>
    <t>TOTAL BALANCE</t>
  </si>
  <si>
    <t>TOTAL INCOME</t>
  </si>
  <si>
    <t>TOTAL EXPENSE</t>
  </si>
  <si>
    <t>SAVINGS
RATE</t>
  </si>
  <si>
    <t>Type</t>
  </si>
  <si>
    <t>Income</t>
  </si>
  <si>
    <t>Date</t>
  </si>
  <si>
    <t>TOTAL INCOME VS SPENDINGS</t>
  </si>
  <si>
    <t>MONTHLY INCOME VS SPENDINGS</t>
  </si>
  <si>
    <t>Amount</t>
  </si>
  <si>
    <t>Category</t>
  </si>
  <si>
    <t>Subcategory</t>
  </si>
  <si>
    <t>CATEGORY OVERVIEW</t>
  </si>
  <si>
    <t xml:space="preserve">MONTHLY SPENDINGS </t>
  </si>
  <si>
    <t>TYPE</t>
  </si>
  <si>
    <t>DATE</t>
  </si>
  <si>
    <t>AMOUNT</t>
  </si>
  <si>
    <t>CATEGORY</t>
  </si>
  <si>
    <t>SUBCATEGORY</t>
  </si>
  <si>
    <t>Expense</t>
  </si>
  <si>
    <t>Transportation</t>
  </si>
  <si>
    <t>Maintenance</t>
  </si>
  <si>
    <t>Food</t>
  </si>
  <si>
    <t>Supplies</t>
  </si>
  <si>
    <t>Lifestyle</t>
  </si>
  <si>
    <t>Books</t>
  </si>
  <si>
    <t>Utilities</t>
  </si>
  <si>
    <t>Phones</t>
  </si>
  <si>
    <t>Mortage</t>
  </si>
  <si>
    <t>Beauty</t>
  </si>
  <si>
    <t>Hair care</t>
  </si>
  <si>
    <t>Cosmetics</t>
  </si>
  <si>
    <t>Salary</t>
  </si>
  <si>
    <t>Person1</t>
  </si>
  <si>
    <t>Person2</t>
  </si>
  <si>
    <t>Vouchers</t>
  </si>
  <si>
    <t>Fashion</t>
  </si>
  <si>
    <t>Shoes</t>
  </si>
  <si>
    <t>Gifts</t>
  </si>
  <si>
    <t>Birthday</t>
  </si>
  <si>
    <t>Visit</t>
  </si>
  <si>
    <t>Sports</t>
  </si>
  <si>
    <t>Hygiene</t>
  </si>
  <si>
    <t>Wants</t>
  </si>
  <si>
    <t>Sweets</t>
  </si>
  <si>
    <t>Investments</t>
  </si>
  <si>
    <t>Health</t>
  </si>
  <si>
    <t>Medications</t>
  </si>
  <si>
    <t>Pets</t>
  </si>
  <si>
    <t>Vet care</t>
  </si>
  <si>
    <t>Housing</t>
  </si>
  <si>
    <t>Laundry &amp; cleaning</t>
  </si>
  <si>
    <t>Other</t>
  </si>
  <si>
    <t>House</t>
  </si>
  <si>
    <t>Travel</t>
  </si>
  <si>
    <t>Subscriptions</t>
  </si>
  <si>
    <t>Presents</t>
  </si>
  <si>
    <t>Invest. return</t>
  </si>
  <si>
    <t>Tax return</t>
  </si>
  <si>
    <t>Repairs</t>
  </si>
  <si>
    <t>Fuel</t>
  </si>
  <si>
    <t>Electricity</t>
  </si>
  <si>
    <t>Accomodation</t>
  </si>
  <si>
    <t>Clothes</t>
  </si>
  <si>
    <t>Movies</t>
  </si>
  <si>
    <t>Insurance</t>
  </si>
  <si>
    <t>Funds</t>
  </si>
  <si>
    <t>Decoration</t>
  </si>
  <si>
    <t>Gas</t>
  </si>
  <si>
    <t>Eating out</t>
  </si>
  <si>
    <t>Coffee</t>
  </si>
  <si>
    <t>Concerts</t>
  </si>
  <si>
    <t>Transport</t>
  </si>
  <si>
    <t>Music</t>
  </si>
  <si>
    <t>Care</t>
  </si>
  <si>
    <t>Christmas</t>
  </si>
  <si>
    <t>Deposit</t>
  </si>
  <si>
    <t>Parking fees</t>
  </si>
  <si>
    <t>Water</t>
  </si>
  <si>
    <t>Food delivery</t>
  </si>
  <si>
    <t xml:space="preserve">Personal care </t>
  </si>
  <si>
    <t>Bakery</t>
  </si>
  <si>
    <t>Exhibitions</t>
  </si>
  <si>
    <t>Grooming</t>
  </si>
  <si>
    <t>Accessories</t>
  </si>
  <si>
    <t>Podcasts</t>
  </si>
  <si>
    <t>Souvenirs</t>
  </si>
  <si>
    <t>Retirement savings</t>
  </si>
  <si>
    <t>Textiles</t>
  </si>
  <si>
    <t>Garbage</t>
  </si>
  <si>
    <t>Treatments</t>
  </si>
  <si>
    <t>Theater</t>
  </si>
  <si>
    <t>Tickets</t>
  </si>
  <si>
    <t>Toys &amp; Accessories</t>
  </si>
  <si>
    <t>Jewellery</t>
  </si>
  <si>
    <t>Articles</t>
  </si>
  <si>
    <t>Suplements</t>
  </si>
  <si>
    <t>Donation</t>
  </si>
  <si>
    <t>Furniture</t>
  </si>
  <si>
    <t>Public transport</t>
  </si>
  <si>
    <t>Haircut</t>
  </si>
  <si>
    <t>Cinema</t>
  </si>
  <si>
    <t>Tax</t>
  </si>
  <si>
    <t>Sportswear</t>
  </si>
  <si>
    <t>Plants</t>
  </si>
  <si>
    <t>Fines</t>
  </si>
  <si>
    <t>Internet</t>
  </si>
  <si>
    <t xml:space="preserve">Tools </t>
  </si>
  <si>
    <t>Magazines</t>
  </si>
  <si>
    <t>Meals/coffee</t>
  </si>
  <si>
    <t>Electronics</t>
  </si>
  <si>
    <t>Taxes</t>
  </si>
  <si>
    <t>Data entry</t>
  </si>
  <si>
    <t>Dog</t>
  </si>
  <si>
    <t>MACROS</t>
  </si>
  <si>
    <t>Sub Data_entry()
'
' Data_entry Macro
'
'
    Sheets("Settings").Select
    Range("G15:G19").Select
    Selection.Copy
    Range("I20").Select
    Selection.PasteSpecial Paste:=xlPasteValuesAndNumberFormats, Operation:= _
        xlNone, SkipBlanks:=False, Transpose:=True
    Range("I20:M20").Select
    Application.CutCopyMode = False
    Selection.Cut
    Sheets("Data").Select
    Range("A2:E2").Select
    Selection.Insert Shift:=xlDown
    Sheets("Dashboard").Select
    Range("D6, D8, D10, D12, D14").Select
    Selection.ClearContents
    Range("D6").Select
End Sub</t>
  </si>
  <si>
    <t>Data entry + chart update</t>
  </si>
  <si>
    <t>Sub chart_update()
'
' chart_update Macro
'
    Sheets("Settings").Select
    Range("G15:G19").Select
    Selection.Copy
    Range("I20").Select
    Selection.PasteSpecial Paste:=xlPasteValuesAndNumberFormats, Operation:= _
        xlNone, SkipBlanks:=False, Transpose:=True
    Range("I20:M20").Select
    Application.CutCopyMode = False
    Selection.Cut
    Sheets("Data").Select
    Range("A2:E2").Select
    Selection.Insert Shift:=xlDown
    Sheets("Dashboard").Select
    Range("D6, D8, D10, D12, D14").Select
    Selection.ClearContents
    Range("D6").Select
    ActiveSheet.ChartObjects("Total in vs out").Activate
    ActiveWorkbook.RefreshAll
End Sub</t>
  </si>
  <si>
    <t>Row Labels</t>
  </si>
  <si>
    <t>Sum of AMOUNT</t>
  </si>
  <si>
    <t>Grand Total</t>
  </si>
  <si>
    <t>Column Labels</t>
  </si>
  <si>
    <t>Jan</t>
  </si>
  <si>
    <t>Feb</t>
  </si>
  <si>
    <t>Mar</t>
  </si>
  <si>
    <t>Apr</t>
  </si>
  <si>
    <t>May</t>
  </si>
  <si>
    <t xml:space="preserve">Line </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</si>
</sst>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5">
    <numFmt numFmtId="44" formatCode="_-&quot;£&quot;* #,##0.00_-;\-&quot;£&quot;* #,##0.00_-;_-&quot;£&quot;* &quot;-&quot;??_-;_-@_-"/>
    <numFmt numFmtId="164" formatCode="_-* #,##0.00\ [$Kč-405]_-;\-* #,##0.00\ [$Kč-405]_-;_-* &quot;-&quot;??\ [$Kč-405]_-;_-@_-"/>
    <numFmt numFmtId="165" formatCode="_-* #,##0\ [$Kč-405]_-;\-* #,##0\ [$Kč-405]_-;_-* &quot;-&quot;??\ [$Kč-405]_-;_-@_-"/>
    <numFmt numFmtId="166" formatCode="#,##0\ [$Kč-405]"/>
    <numFmt numFmtId="167" formatCode="_-* #,##0\ [$Kč-405]_-;\-* #,##0\ [$Kč-405]_-;_-* &quot;-&quot;\ [$Kč-405]_-;_-@_-"/>
  </numFmts>
  <fonts count="20" x14ac:knownFonts="1">
    <font>
      <sz val="11"/>
      <color theme="1"/>
      <name val="Aptos Narrow"/>
      <family val="2"/>
      <scheme val="minor"/>
    </font>
    <font>
      <sz val="11"/>
      <color theme="1"/>
      <name val="Aptos Narrow"/>
      <family val="2"/>
      <scheme val="minor"/>
    </font>
    <font>
      <b/>
      <sz val="11"/>
      <color theme="0"/>
      <name val="Aptos Narrow"/>
      <family val="2"/>
      <charset val="238"/>
      <scheme val="minor"/>
    </font>
    <font>
      <sz val="11"/>
      <name val="Aptos Narrow"/>
      <family val="2"/>
      <scheme val="minor"/>
    </font>
    <font>
      <sz val="8"/>
      <name val="Aptos Narrow"/>
      <family val="2"/>
      <scheme val="minor"/>
    </font>
    <font>
      <b/>
      <sz val="11"/>
      <color theme="0"/>
      <name val="Aptos Narrow"/>
      <family val="2"/>
      <scheme val="minor"/>
    </font>
    <font>
      <b/>
      <sz val="10"/>
      <name val="Aptos Narrow"/>
      <family val="2"/>
      <scheme val="minor"/>
    </font>
    <font>
      <sz val="9"/>
      <color theme="1"/>
      <name val="Aptos Narrow"/>
      <family val="2"/>
      <scheme val="minor"/>
    </font>
    <font>
      <b/>
      <sz val="10"/>
      <color theme="0"/>
      <name val="Aptos Narrow"/>
      <family val="2"/>
      <scheme val="minor"/>
    </font>
    <font>
      <sz val="10"/>
      <name val="Aptos Narrow"/>
      <family val="2"/>
      <scheme val="minor"/>
    </font>
    <font>
      <sz val="14"/>
      <color theme="1"/>
      <name val="Aptos Narrow"/>
      <family val="2"/>
      <scheme val="minor"/>
    </font>
    <font>
      <b/>
      <sz val="11"/>
      <name val="Aptos Narrow"/>
      <family val="2"/>
      <scheme val="minor"/>
    </font>
    <font>
      <sz val="9"/>
      <name val="Aptos Narrow"/>
      <family val="2"/>
      <scheme val="minor"/>
    </font>
    <font>
      <b/>
      <sz val="22"/>
      <color theme="0"/>
      <name val="Aptos Narrow"/>
      <family val="2"/>
      <scheme val="minor"/>
    </font>
    <font>
      <sz val="9"/>
      <color theme="0"/>
      <name val="Aptos Narrow"/>
      <family val="2"/>
      <scheme val="minor"/>
    </font>
    <font>
      <b/>
      <sz val="12"/>
      <color theme="0"/>
      <name val="Aptos Narrow"/>
      <family val="2"/>
      <scheme val="minor"/>
    </font>
    <font>
      <b/>
      <sz val="10"/>
      <color rgb="FF153462"/>
      <name val="Aptos Narrow"/>
      <family val="2"/>
      <scheme val="minor"/>
    </font>
    <font>
      <b/>
      <sz val="18"/>
      <color rgb="FF153462"/>
      <name val="Aptos Narrow"/>
      <family val="2"/>
      <scheme val="minor"/>
    </font>
    <font>
      <b/>
      <sz val="14"/>
      <color rgb="FF153462"/>
      <name val="Aptos Narrow"/>
      <family val="2"/>
      <scheme val="minor"/>
    </font>
    <font>
      <b/>
      <sz val="11"/>
      <color theme="1"/>
      <name val="Aptos Narrow"/>
      <family val="2"/>
      <scheme val="minor"/>
    </font>
  </fonts>
  <fills count="11">
    <fill>
      <patternFill patternType="none"/>
    </fill>
    <fill>
      <patternFill patternType="gray125"/>
    </fill>
    <fill>
      <patternFill patternType="solid">
        <fgColor theme="0" tint="-0.14999847407452621"/>
        <bgColor indexed="64"/>
      </patternFill>
    </fill>
    <fill>
      <patternFill patternType="solid">
        <fgColor theme="4"/>
        <bgColor theme="4"/>
      </patternFill>
    </fill>
    <fill>
      <patternFill patternType="solid">
        <fgColor theme="3" tint="0.89999084444715716"/>
        <bgColor indexed="64"/>
      </patternFill>
    </fill>
    <fill>
      <patternFill patternType="solid">
        <fgColor theme="4"/>
        <bgColor indexed="64"/>
      </patternFill>
    </fill>
    <fill>
      <patternFill patternType="solid">
        <fgColor theme="0"/>
        <bgColor indexed="64"/>
      </patternFill>
    </fill>
    <fill>
      <patternFill patternType="solid">
        <fgColor theme="2"/>
        <bgColor indexed="64"/>
      </patternFill>
    </fill>
    <fill>
      <patternFill patternType="solid">
        <fgColor theme="4" tint="-0.249977111117893"/>
        <bgColor indexed="64"/>
      </patternFill>
    </fill>
    <fill>
      <patternFill patternType="solid">
        <fgColor rgb="FF113751"/>
        <bgColor indexed="64"/>
      </patternFill>
    </fill>
    <fill>
      <patternFill patternType="solid">
        <fgColor theme="0" tint="-4.9989318521683403E-2"/>
        <bgColor indexed="64"/>
      </patternFill>
    </fill>
  </fills>
  <borders count="19">
    <border>
      <left/>
      <right/>
      <top/>
      <bottom/>
      <diagonal/>
    </border>
    <border>
      <left/>
      <right/>
      <top/>
      <bottom style="thin">
        <color indexed="64"/>
      </bottom>
      <diagonal/>
    </border>
    <border>
      <left style="thin">
        <color indexed="64"/>
      </left>
      <right style="thin">
        <color indexed="64"/>
      </right>
      <top style="thin">
        <color indexed="64"/>
      </top>
      <bottom/>
      <diagonal/>
    </border>
    <border>
      <left style="thin">
        <color theme="4"/>
      </left>
      <right/>
      <top/>
      <bottom/>
      <diagonal/>
    </border>
    <border>
      <left style="thin">
        <color indexed="64"/>
      </left>
      <right style="thin">
        <color indexed="64"/>
      </right>
      <top/>
      <bottom/>
      <diagonal/>
    </border>
    <border>
      <left/>
      <right/>
      <top/>
      <bottom style="medium">
        <color theme="6" tint="-0.249977111117893"/>
      </bottom>
      <diagonal/>
    </border>
    <border>
      <left style="thin">
        <color theme="3" tint="9.9978637043366805E-2"/>
      </left>
      <right/>
      <top/>
      <bottom/>
      <diagonal/>
    </border>
    <border>
      <left style="thin">
        <color theme="3" tint="9.9978637043366805E-2"/>
      </left>
      <right/>
      <top/>
      <bottom style="medium">
        <color theme="6" tint="-0.249977111117893"/>
      </bottom>
      <diagonal/>
    </border>
    <border>
      <left style="medium">
        <color theme="3" tint="9.9978637043366805E-2"/>
      </left>
      <right/>
      <top style="medium">
        <color theme="3" tint="9.9978637043366805E-2"/>
      </top>
      <bottom/>
      <diagonal/>
    </border>
    <border>
      <left/>
      <right/>
      <top style="medium">
        <color theme="3" tint="9.9978637043366805E-2"/>
      </top>
      <bottom/>
      <diagonal/>
    </border>
    <border>
      <left/>
      <right style="medium">
        <color theme="3" tint="9.9978637043366805E-2"/>
      </right>
      <top style="medium">
        <color theme="3" tint="9.9978637043366805E-2"/>
      </top>
      <bottom/>
      <diagonal/>
    </border>
    <border>
      <left style="medium">
        <color theme="3" tint="9.9978637043366805E-2"/>
      </left>
      <right/>
      <top/>
      <bottom/>
      <diagonal/>
    </border>
    <border>
      <left/>
      <right style="medium">
        <color theme="3" tint="9.9978637043366805E-2"/>
      </right>
      <top/>
      <bottom/>
      <diagonal/>
    </border>
    <border>
      <left/>
      <right style="medium">
        <color theme="3" tint="9.9978637043366805E-2"/>
      </right>
      <top/>
      <bottom style="medium">
        <color theme="6" tint="-0.249977111117893"/>
      </bottom>
      <diagonal/>
    </border>
    <border>
      <left style="medium">
        <color theme="3" tint="9.9978637043366805E-2"/>
      </left>
      <right/>
      <top/>
      <bottom style="medium">
        <color theme="3" tint="9.9978637043366805E-2"/>
      </bottom>
      <diagonal/>
    </border>
    <border>
      <left/>
      <right/>
      <top/>
      <bottom style="medium">
        <color theme="3" tint="9.9978637043366805E-2"/>
      </bottom>
      <diagonal/>
    </border>
    <border>
      <left/>
      <right style="medium">
        <color theme="3" tint="9.9978637043366805E-2"/>
      </right>
      <top/>
      <bottom style="medium">
        <color theme="3" tint="9.9978637043366805E-2"/>
      </bottom>
      <diagonal/>
    </border>
    <border>
      <left/>
      <right/>
      <top/>
      <bottom style="medium">
        <color theme="4" tint="-0.249977111117893"/>
      </bottom>
      <diagonal/>
    </border>
    <border>
      <left style="medium">
        <color theme="4" tint="-0.249977111117893"/>
      </left>
      <right/>
      <top/>
      <bottom/>
      <diagonal/>
    </border>
  </borders>
  <cellStyleXfs count="2">
    <xf numFmtId="0" fontId="0" fillId="0" borderId="0"/>
    <xf numFmtId="44" fontId="1" fillId="0" borderId="0" applyFont="0" applyFill="0" applyBorder="0" applyAlignment="0" applyProtection="0"/>
  </cellStyleXfs>
  <cellXfs count="132">
    <xf numFmtId="0" fontId="0" fillId="0" borderId="0" xfId="0"/>
    <xf numFmtId="0" fontId="0" fillId="0" borderId="0" xfId="0" applyAlignment="1">
      <alignment horizontal="left"/>
    </xf>
    <xf numFmtId="14" fontId="0" fillId="0" borderId="0" xfId="0" applyNumberFormat="1"/>
    <xf numFmtId="0" fontId="0" fillId="0" borderId="0" xfId="0" applyAlignment="1">
      <alignment horizontal="center"/>
    </xf>
    <xf numFmtId="0" fontId="2" fillId="3" borderId="2" xfId="0" applyFont="1" applyFill="1" applyBorder="1"/>
    <xf numFmtId="0" fontId="3" fillId="0" borderId="0" xfId="0" applyFont="1"/>
    <xf numFmtId="0" fontId="0" fillId="2" borderId="0" xfId="0" applyFill="1"/>
    <xf numFmtId="0" fontId="3" fillId="0" borderId="0" xfId="0" applyFont="1" applyAlignment="1">
      <alignment horizontal="left"/>
    </xf>
    <xf numFmtId="0" fontId="0" fillId="0" borderId="0" xfId="0" applyAlignment="1">
      <alignment horizontal="right"/>
    </xf>
    <xf numFmtId="14" fontId="0" fillId="0" borderId="0" xfId="0" applyNumberFormat="1" applyAlignment="1">
      <alignment horizontal="right"/>
    </xf>
    <xf numFmtId="0" fontId="0" fillId="0" borderId="0" xfId="0" pivotButton="1"/>
    <xf numFmtId="165" fontId="0" fillId="0" borderId="0" xfId="0" applyNumberFormat="1"/>
    <xf numFmtId="0" fontId="5" fillId="5" borderId="0" xfId="0" applyFont="1" applyFill="1"/>
    <xf numFmtId="0" fontId="7" fillId="0" borderId="0" xfId="0" applyFont="1" applyAlignment="1">
      <alignment vertical="center"/>
    </xf>
    <xf numFmtId="0" fontId="0" fillId="0" borderId="0" xfId="0" applyAlignment="1">
      <alignment horizontal="left" indent="1"/>
    </xf>
    <xf numFmtId="166" fontId="0" fillId="0" borderId="0" xfId="0" applyNumberFormat="1"/>
    <xf numFmtId="166" fontId="0" fillId="0" borderId="0" xfId="0" applyNumberFormat="1" applyAlignment="1">
      <alignment horizontal="right"/>
    </xf>
    <xf numFmtId="0" fontId="5" fillId="0" borderId="0" xfId="0" applyFont="1"/>
    <xf numFmtId="0" fontId="2" fillId="3" borderId="4" xfId="0" applyFont="1" applyFill="1" applyBorder="1"/>
    <xf numFmtId="165" fontId="0" fillId="0" borderId="0" xfId="1" applyNumberFormat="1" applyFont="1" applyBorder="1"/>
    <xf numFmtId="164" fontId="0" fillId="0" borderId="0" xfId="0" applyNumberFormat="1"/>
    <xf numFmtId="0" fontId="0" fillId="5" borderId="0" xfId="0" applyFill="1" applyAlignment="1">
      <alignment horizontal="left" vertical="center"/>
    </xf>
    <xf numFmtId="14" fontId="0" fillId="5" borderId="0" xfId="0" applyNumberFormat="1" applyFill="1" applyAlignment="1">
      <alignment horizontal="left" vertical="center"/>
    </xf>
    <xf numFmtId="165" fontId="0" fillId="5" borderId="0" xfId="1" applyNumberFormat="1" applyFont="1" applyFill="1" applyBorder="1" applyAlignment="1">
      <alignment horizontal="left" vertical="center"/>
    </xf>
    <xf numFmtId="14" fontId="0" fillId="0" borderId="0" xfId="0" applyNumberFormat="1" applyAlignment="1">
      <alignment horizontal="left" vertical="center"/>
    </xf>
    <xf numFmtId="165" fontId="0" fillId="0" borderId="0" xfId="1" applyNumberFormat="1" applyFont="1" applyFill="1" applyBorder="1" applyAlignment="1">
      <alignment horizontal="left" vertical="center"/>
    </xf>
    <xf numFmtId="0" fontId="0" fillId="0" borderId="0" xfId="0" applyAlignment="1">
      <alignment horizontal="left" vertical="center"/>
    </xf>
    <xf numFmtId="0" fontId="0" fillId="0" borderId="0" xfId="0" applyAlignment="1">
      <alignment wrapText="1"/>
    </xf>
    <xf numFmtId="0" fontId="19" fillId="0" borderId="0" xfId="0" applyFont="1"/>
    <xf numFmtId="164" fontId="16" fillId="7" borderId="5" xfId="0" applyNumberFormat="1" applyFont="1" applyFill="1" applyBorder="1" applyAlignment="1">
      <alignment vertical="center" wrapText="1"/>
    </xf>
    <xf numFmtId="164" fontId="18" fillId="7" borderId="5" xfId="0" applyNumberFormat="1" applyFont="1" applyFill="1" applyBorder="1" applyAlignment="1">
      <alignment horizontal="center" vertical="center" wrapText="1"/>
    </xf>
    <xf numFmtId="165" fontId="17" fillId="7" borderId="5" xfId="0" applyNumberFormat="1" applyFont="1" applyFill="1" applyBorder="1" applyAlignment="1">
      <alignment horizontal="center" vertical="center" wrapText="1"/>
    </xf>
    <xf numFmtId="0" fontId="13" fillId="8" borderId="0" xfId="0" applyFont="1" applyFill="1" applyAlignment="1">
      <alignment vertical="center"/>
    </xf>
    <xf numFmtId="164" fontId="16" fillId="7" borderId="0" xfId="0" applyNumberFormat="1" applyFont="1" applyFill="1" applyAlignment="1">
      <alignment vertical="center" wrapText="1"/>
    </xf>
    <xf numFmtId="165" fontId="17" fillId="7" borderId="0" xfId="0" applyNumberFormat="1" applyFont="1" applyFill="1" applyAlignment="1">
      <alignment horizontal="center" vertical="center" wrapText="1"/>
    </xf>
    <xf numFmtId="0" fontId="0" fillId="7" borderId="0" xfId="0" applyFill="1"/>
    <xf numFmtId="164" fontId="18" fillId="7" borderId="0" xfId="0" applyNumberFormat="1" applyFont="1" applyFill="1" applyAlignment="1">
      <alignment horizontal="center" vertical="center" wrapText="1"/>
    </xf>
    <xf numFmtId="164" fontId="5" fillId="8" borderId="0" xfId="0" applyNumberFormat="1" applyFont="1" applyFill="1" applyAlignment="1">
      <alignment vertical="center"/>
    </xf>
    <xf numFmtId="0" fontId="14" fillId="8" borderId="0" xfId="0" applyFont="1" applyFill="1" applyAlignment="1">
      <alignment vertical="center"/>
    </xf>
    <xf numFmtId="164" fontId="6" fillId="0" borderId="0" xfId="0" applyNumberFormat="1" applyFont="1" applyAlignment="1">
      <alignment horizontal="center" vertical="center"/>
    </xf>
    <xf numFmtId="0" fontId="3" fillId="6" borderId="0" xfId="0" applyFont="1" applyFill="1" applyAlignment="1">
      <alignment horizontal="center"/>
    </xf>
    <xf numFmtId="167" fontId="10" fillId="6" borderId="0" xfId="0" applyNumberFormat="1" applyFont="1" applyFill="1" applyAlignment="1">
      <alignment vertical="center"/>
    </xf>
    <xf numFmtId="167" fontId="10" fillId="0" borderId="0" xfId="0" applyNumberFormat="1" applyFont="1" applyAlignment="1">
      <alignment vertical="center"/>
    </xf>
    <xf numFmtId="0" fontId="0" fillId="6" borderId="0" xfId="0" applyFill="1"/>
    <xf numFmtId="0" fontId="0" fillId="8" borderId="0" xfId="0" applyFill="1"/>
    <xf numFmtId="0" fontId="3" fillId="0" borderId="0" xfId="0" applyFont="1" applyAlignment="1">
      <alignment horizontal="center"/>
    </xf>
    <xf numFmtId="164" fontId="8" fillId="0" borderId="0" xfId="0" applyNumberFormat="1" applyFont="1" applyAlignment="1">
      <alignment horizontal="left" vertical="center"/>
    </xf>
    <xf numFmtId="164" fontId="8" fillId="8" borderId="0" xfId="0" applyNumberFormat="1" applyFont="1" applyFill="1" applyAlignment="1">
      <alignment horizontal="left" vertical="center"/>
    </xf>
    <xf numFmtId="164" fontId="6" fillId="6" borderId="0" xfId="0" applyNumberFormat="1" applyFont="1" applyFill="1" applyAlignment="1">
      <alignment vertical="center"/>
    </xf>
    <xf numFmtId="0" fontId="3" fillId="8" borderId="0" xfId="0" applyFont="1" applyFill="1"/>
    <xf numFmtId="14" fontId="3" fillId="8" borderId="0" xfId="0" applyNumberFormat="1" applyFont="1" applyFill="1"/>
    <xf numFmtId="14" fontId="3" fillId="0" borderId="0" xfId="0" applyNumberFormat="1" applyFont="1"/>
    <xf numFmtId="0" fontId="12" fillId="8" borderId="0" xfId="0" applyFont="1" applyFill="1" applyAlignment="1">
      <alignment horizontal="left"/>
    </xf>
    <xf numFmtId="166" fontId="3" fillId="0" borderId="0" xfId="0" applyNumberFormat="1" applyFont="1"/>
    <xf numFmtId="0" fontId="12" fillId="8" borderId="0" xfId="0" applyFont="1" applyFill="1" applyAlignment="1">
      <alignment horizontal="left" vertical="center"/>
    </xf>
    <xf numFmtId="164" fontId="3" fillId="8" borderId="0" xfId="0" applyNumberFormat="1" applyFont="1" applyFill="1"/>
    <xf numFmtId="0" fontId="3" fillId="8" borderId="0" xfId="0" applyFont="1" applyFill="1" applyAlignment="1">
      <alignment horizontal="center" vertical="center"/>
    </xf>
    <xf numFmtId="0" fontId="3" fillId="0" borderId="0" xfId="0" applyFont="1" applyAlignment="1">
      <alignment horizontal="center" vertical="center"/>
    </xf>
    <xf numFmtId="0" fontId="3" fillId="8" borderId="0" xfId="0" applyFont="1" applyFill="1" applyAlignment="1">
      <alignment vertical="center"/>
    </xf>
    <xf numFmtId="0" fontId="3" fillId="0" borderId="0" xfId="0" applyFont="1" applyAlignment="1">
      <alignment vertical="center"/>
    </xf>
    <xf numFmtId="164" fontId="9" fillId="8" borderId="0" xfId="0" applyNumberFormat="1" applyFont="1" applyFill="1"/>
    <xf numFmtId="14" fontId="3" fillId="8" borderId="0" xfId="0" applyNumberFormat="1" applyFont="1" applyFill="1" applyAlignment="1">
      <alignment horizontal="center" vertical="center"/>
    </xf>
    <xf numFmtId="164" fontId="3" fillId="8" borderId="0" xfId="0" applyNumberFormat="1" applyFont="1" applyFill="1" applyAlignment="1">
      <alignment horizontal="center" vertical="center"/>
    </xf>
    <xf numFmtId="165" fontId="3" fillId="8" borderId="0" xfId="0" applyNumberFormat="1" applyFont="1" applyFill="1"/>
    <xf numFmtId="0" fontId="3" fillId="8" borderId="0" xfId="0" applyFont="1" applyFill="1" applyAlignment="1">
      <alignment horizontal="center"/>
    </xf>
    <xf numFmtId="165" fontId="3" fillId="8" borderId="0" xfId="0" applyNumberFormat="1" applyFont="1" applyFill="1" applyAlignment="1">
      <alignment horizontal="center"/>
    </xf>
    <xf numFmtId="0" fontId="6" fillId="8" borderId="0" xfId="0" applyFont="1" applyFill="1" applyAlignment="1">
      <alignment vertical="center"/>
    </xf>
    <xf numFmtId="164" fontId="6" fillId="8" borderId="0" xfId="0" applyNumberFormat="1" applyFont="1" applyFill="1" applyAlignment="1">
      <alignment vertical="center"/>
    </xf>
    <xf numFmtId="0" fontId="9" fillId="8" borderId="0" xfId="0" applyFont="1" applyFill="1" applyAlignment="1">
      <alignment vertical="center"/>
    </xf>
    <xf numFmtId="14" fontId="8" fillId="8" borderId="0" xfId="0" applyNumberFormat="1" applyFont="1" applyFill="1" applyAlignment="1">
      <alignment horizontal="left" vertical="center"/>
    </xf>
    <xf numFmtId="164" fontId="8" fillId="8" borderId="0" xfId="0" applyNumberFormat="1" applyFont="1" applyFill="1" applyAlignment="1">
      <alignment horizontal="center" vertical="center"/>
    </xf>
    <xf numFmtId="164" fontId="0" fillId="8" borderId="0" xfId="0" applyNumberFormat="1" applyFill="1"/>
    <xf numFmtId="164" fontId="8" fillId="0" borderId="0" xfId="0" applyNumberFormat="1" applyFont="1" applyAlignment="1">
      <alignment vertical="center"/>
    </xf>
    <xf numFmtId="0" fontId="7" fillId="8" borderId="0" xfId="0" applyFont="1" applyFill="1" applyAlignment="1">
      <alignment horizontal="center" vertical="center"/>
    </xf>
    <xf numFmtId="165" fontId="7" fillId="8" borderId="0" xfId="0" applyNumberFormat="1" applyFont="1" applyFill="1" applyAlignment="1">
      <alignment horizontal="center" vertical="center"/>
    </xf>
    <xf numFmtId="165" fontId="0" fillId="8" borderId="0" xfId="0" applyNumberFormat="1" applyFill="1"/>
    <xf numFmtId="164" fontId="7" fillId="8" borderId="0" xfId="0" applyNumberFormat="1" applyFont="1" applyFill="1" applyAlignment="1">
      <alignment horizontal="center" vertical="center"/>
    </xf>
    <xf numFmtId="10" fontId="7" fillId="8" borderId="0" xfId="0" applyNumberFormat="1" applyFont="1" applyFill="1" applyAlignment="1">
      <alignment horizontal="center" vertical="center"/>
    </xf>
    <xf numFmtId="10" fontId="7" fillId="8" borderId="0" xfId="0" applyNumberFormat="1" applyFont="1" applyFill="1" applyAlignment="1">
      <alignment vertical="center"/>
    </xf>
    <xf numFmtId="0" fontId="7" fillId="8" borderId="0" xfId="0" applyFont="1" applyFill="1" applyAlignment="1">
      <alignment vertical="center"/>
    </xf>
    <xf numFmtId="0" fontId="7" fillId="6" borderId="0" xfId="0" applyFont="1" applyFill="1" applyAlignment="1">
      <alignment vertical="center"/>
    </xf>
    <xf numFmtId="0" fontId="13" fillId="8" borderId="8" xfId="0" applyFont="1" applyFill="1" applyBorder="1" applyAlignment="1">
      <alignment vertical="center"/>
    </xf>
    <xf numFmtId="0" fontId="13" fillId="8" borderId="9" xfId="0" applyFont="1" applyFill="1" applyBorder="1" applyAlignment="1">
      <alignment vertical="center"/>
    </xf>
    <xf numFmtId="0" fontId="13" fillId="8" borderId="11" xfId="0" applyFont="1" applyFill="1" applyBorder="1" applyAlignment="1">
      <alignment vertical="center"/>
    </xf>
    <xf numFmtId="164" fontId="11" fillId="8" borderId="11" xfId="0" applyNumberFormat="1" applyFont="1" applyFill="1" applyBorder="1" applyAlignment="1">
      <alignment vertical="center"/>
    </xf>
    <xf numFmtId="0" fontId="0" fillId="7" borderId="12" xfId="0" applyFill="1" applyBorder="1"/>
    <xf numFmtId="0" fontId="3" fillId="7" borderId="12" xfId="0" applyFont="1" applyFill="1" applyBorder="1"/>
    <xf numFmtId="0" fontId="3" fillId="7" borderId="13" xfId="0" applyFont="1" applyFill="1" applyBorder="1"/>
    <xf numFmtId="0" fontId="3" fillId="8" borderId="11" xfId="0" applyFont="1" applyFill="1" applyBorder="1"/>
    <xf numFmtId="0" fontId="0" fillId="6" borderId="12" xfId="0" applyFill="1" applyBorder="1"/>
    <xf numFmtId="164" fontId="3" fillId="8" borderId="11" xfId="0" applyNumberFormat="1" applyFont="1" applyFill="1" applyBorder="1"/>
    <xf numFmtId="164" fontId="9" fillId="8" borderId="11" xfId="0" applyNumberFormat="1" applyFont="1" applyFill="1" applyBorder="1"/>
    <xf numFmtId="0" fontId="3" fillId="8" borderId="11" xfId="0" applyFont="1" applyFill="1" applyBorder="1" applyAlignment="1">
      <alignment horizontal="center"/>
    </xf>
    <xf numFmtId="0" fontId="6" fillId="8" borderId="11" xfId="0" applyFont="1" applyFill="1" applyBorder="1" applyAlignment="1">
      <alignment vertical="center"/>
    </xf>
    <xf numFmtId="0" fontId="8" fillId="8" borderId="11" xfId="0" applyFont="1" applyFill="1" applyBorder="1" applyAlignment="1">
      <alignment horizontal="center" vertical="center"/>
    </xf>
    <xf numFmtId="0" fontId="7" fillId="8" borderId="11" xfId="0" applyFont="1" applyFill="1" applyBorder="1" applyAlignment="1">
      <alignment horizontal="center" vertical="center"/>
    </xf>
    <xf numFmtId="0" fontId="0" fillId="8" borderId="11" xfId="0" applyFill="1" applyBorder="1"/>
    <xf numFmtId="0" fontId="0" fillId="8" borderId="14" xfId="0" applyFill="1" applyBorder="1"/>
    <xf numFmtId="0" fontId="0" fillId="8" borderId="15" xfId="0" applyFill="1" applyBorder="1"/>
    <xf numFmtId="0" fontId="0" fillId="0" borderId="15" xfId="0" applyBorder="1"/>
    <xf numFmtId="0" fontId="0" fillId="6" borderId="15" xfId="0" applyFill="1" applyBorder="1"/>
    <xf numFmtId="0" fontId="0" fillId="6" borderId="16" xfId="0" applyFill="1" applyBorder="1"/>
    <xf numFmtId="0" fontId="0" fillId="0" borderId="11" xfId="0" applyBorder="1"/>
    <xf numFmtId="0" fontId="0" fillId="6" borderId="17" xfId="0" applyFill="1" applyBorder="1"/>
    <xf numFmtId="0" fontId="0" fillId="0" borderId="18" xfId="0" applyBorder="1"/>
    <xf numFmtId="0" fontId="0" fillId="0" borderId="0" xfId="0" applyAlignment="1">
      <alignment vertical="top"/>
    </xf>
    <xf numFmtId="166" fontId="9" fillId="10" borderId="0" xfId="0" applyNumberFormat="1" applyFont="1" applyFill="1" applyAlignment="1" applyProtection="1">
      <alignment horizontal="center" vertical="center"/>
      <protection locked="0"/>
    </xf>
    <xf numFmtId="0" fontId="9" fillId="10" borderId="0" xfId="0" applyFont="1" applyFill="1" applyAlignment="1" applyProtection="1">
      <alignment horizontal="center" vertical="center"/>
      <protection locked="0"/>
    </xf>
    <xf numFmtId="14" fontId="9" fillId="10" borderId="0" xfId="0" applyNumberFormat="1" applyFont="1" applyFill="1" applyAlignment="1" applyProtection="1">
      <alignment horizontal="center" vertical="center"/>
      <protection locked="0"/>
    </xf>
    <xf numFmtId="164" fontId="16" fillId="7" borderId="0" xfId="0" applyNumberFormat="1" applyFont="1" applyFill="1" applyAlignment="1">
      <alignment horizontal="center" vertical="center" wrapText="1"/>
    </xf>
    <xf numFmtId="164" fontId="16" fillId="7" borderId="5" xfId="0" applyNumberFormat="1" applyFont="1" applyFill="1" applyBorder="1" applyAlignment="1">
      <alignment horizontal="center" vertical="center" wrapText="1"/>
    </xf>
    <xf numFmtId="164" fontId="15" fillId="8" borderId="0" xfId="0" applyNumberFormat="1" applyFont="1" applyFill="1" applyAlignment="1">
      <alignment horizontal="center" vertical="center"/>
    </xf>
    <xf numFmtId="164" fontId="3" fillId="10" borderId="0" xfId="0" applyNumberFormat="1" applyFont="1" applyFill="1" applyAlignment="1" applyProtection="1">
      <alignment horizontal="center" vertical="center"/>
      <protection locked="0"/>
    </xf>
    <xf numFmtId="164" fontId="8" fillId="8" borderId="0" xfId="0" applyNumberFormat="1" applyFont="1" applyFill="1" applyAlignment="1">
      <alignment horizontal="left" vertical="center"/>
    </xf>
    <xf numFmtId="164" fontId="8" fillId="9" borderId="0" xfId="0" applyNumberFormat="1" applyFont="1" applyFill="1" applyAlignment="1">
      <alignment horizontal="left" vertical="center"/>
    </xf>
    <xf numFmtId="165" fontId="17" fillId="7" borderId="6" xfId="0" applyNumberFormat="1" applyFont="1" applyFill="1" applyBorder="1" applyAlignment="1">
      <alignment horizontal="center" vertical="center" wrapText="1"/>
    </xf>
    <xf numFmtId="165" fontId="17" fillId="7" borderId="0" xfId="0" applyNumberFormat="1" applyFont="1" applyFill="1" applyAlignment="1">
      <alignment horizontal="center" vertical="center" wrapText="1"/>
    </xf>
    <xf numFmtId="165" fontId="17" fillId="7" borderId="7" xfId="0" applyNumberFormat="1" applyFont="1" applyFill="1" applyBorder="1" applyAlignment="1">
      <alignment horizontal="center" vertical="center" wrapText="1"/>
    </xf>
    <xf numFmtId="165" fontId="17" fillId="7" borderId="5" xfId="0" applyNumberFormat="1" applyFont="1" applyFill="1" applyBorder="1" applyAlignment="1">
      <alignment horizontal="center" vertical="center" wrapText="1"/>
    </xf>
    <xf numFmtId="0" fontId="0" fillId="7" borderId="0" xfId="0" applyFill="1" applyAlignment="1">
      <alignment horizontal="center"/>
    </xf>
    <xf numFmtId="0" fontId="0" fillId="7" borderId="5" xfId="0" applyFill="1" applyBorder="1" applyAlignment="1">
      <alignment horizontal="center"/>
    </xf>
    <xf numFmtId="0" fontId="13" fillId="8" borderId="9" xfId="0" applyFont="1" applyFill="1" applyBorder="1" applyAlignment="1">
      <alignment horizontal="center" vertical="center"/>
    </xf>
    <xf numFmtId="0" fontId="13" fillId="8" borderId="10" xfId="0" applyFont="1" applyFill="1" applyBorder="1" applyAlignment="1">
      <alignment horizontal="center" vertical="center"/>
    </xf>
    <xf numFmtId="0" fontId="13" fillId="8" borderId="0" xfId="0" applyFont="1" applyFill="1" applyAlignment="1">
      <alignment horizontal="center" vertical="center"/>
    </xf>
    <xf numFmtId="0" fontId="13" fillId="8" borderId="12" xfId="0" applyFont="1" applyFill="1" applyBorder="1" applyAlignment="1">
      <alignment horizontal="center" vertical="center"/>
    </xf>
    <xf numFmtId="10" fontId="17" fillId="7" borderId="6" xfId="0" applyNumberFormat="1" applyFont="1" applyFill="1" applyBorder="1" applyAlignment="1">
      <alignment horizontal="center" vertical="center" wrapText="1"/>
    </xf>
    <xf numFmtId="10" fontId="17" fillId="7" borderId="7" xfId="0" applyNumberFormat="1" applyFont="1" applyFill="1" applyBorder="1" applyAlignment="1">
      <alignment horizontal="center" vertical="center" wrapText="1"/>
    </xf>
    <xf numFmtId="0" fontId="0" fillId="0" borderId="0" xfId="0" applyAlignment="1">
      <alignment horizontal="left" wrapText="1"/>
    </xf>
    <xf numFmtId="0" fontId="0" fillId="4" borderId="1" xfId="0" applyFill="1" applyBorder="1" applyAlignment="1">
      <alignment horizontal="center"/>
    </xf>
    <xf numFmtId="0" fontId="5" fillId="5" borderId="0" xfId="0" applyFont="1" applyFill="1" applyAlignment="1">
      <alignment horizontal="center"/>
    </xf>
    <xf numFmtId="0" fontId="0" fillId="4" borderId="3" xfId="0" applyFill="1" applyBorder="1" applyAlignment="1">
      <alignment horizontal="center"/>
    </xf>
    <xf numFmtId="0" fontId="0" fillId="4" borderId="0" xfId="0" applyFill="1" applyAlignment="1">
      <alignment horizontal="center"/>
    </xf>
  </cellXfs>
  <cellStyles count="2">
    <cellStyle name="Currency" xfId="1" builtinId="4"/>
    <cellStyle name="Normal" xfId="0" builtinId="0"/>
  </cellStyles>
  <dxfs count="21">
    <dxf>
      <numFmt numFmtId="165" formatCode="_-* #,##0\ [$Kč-405]_-;\-* #,##0\ [$Kč-405]_-;_-* &quot;-&quot;??\ [$Kč-405]_-;_-@_-"/>
    </dxf>
    <dxf>
      <numFmt numFmtId="165" formatCode="_-* #,##0\ [$Kč-405]_-;\-* #,##0\ [$Kč-405]_-;_-* &quot;-&quot;??\ [$Kč-405]_-;_-@_-"/>
    </dxf>
    <dxf>
      <numFmt numFmtId="166" formatCode="#,##0\ [$Kč-405]"/>
    </dxf>
    <dxf>
      <numFmt numFmtId="19" formatCode="dd/mm/yyyy"/>
    </dxf>
    <dxf>
      <numFmt numFmtId="166" formatCode="#,##0\ [$Kč-405]"/>
    </dxf>
    <dxf>
      <numFmt numFmtId="19" formatCode="dd/mm/yyyy"/>
    </dxf>
    <dxf>
      <font>
        <b val="0"/>
        <i val="0"/>
        <strike val="0"/>
        <condense val="0"/>
        <extend val="0"/>
        <outline val="0"/>
        <shadow val="0"/>
        <u val="none"/>
        <vertAlign val="baseline"/>
        <sz val="11"/>
        <color theme="1"/>
        <name val="Aptos Narrow"/>
        <family val="2"/>
        <scheme val="minor"/>
      </font>
    </dxf>
    <dxf>
      <font>
        <b val="0"/>
        <i val="0"/>
        <strike val="0"/>
        <condense val="0"/>
        <extend val="0"/>
        <outline val="0"/>
        <shadow val="0"/>
        <u val="none"/>
        <vertAlign val="baseline"/>
        <sz val="11"/>
        <color theme="1"/>
        <name val="Aptos Narrow"/>
        <family val="2"/>
        <scheme val="minor"/>
      </font>
    </dxf>
    <dxf>
      <font>
        <b val="0"/>
        <i val="0"/>
        <strike val="0"/>
        <condense val="0"/>
        <extend val="0"/>
        <outline val="0"/>
        <shadow val="0"/>
        <u val="none"/>
        <vertAlign val="baseline"/>
        <sz val="11"/>
        <color theme="1"/>
        <name val="Aptos Narrow"/>
        <family val="2"/>
        <scheme val="minor"/>
      </font>
      <numFmt numFmtId="165" formatCode="_-* #,##0\ [$Kč-405]_-;\-* #,##0\ [$Kč-405]_-;_-* &quot;-&quot;??\ [$Kč-405]_-;_-@_-"/>
    </dxf>
    <dxf>
      <font>
        <b val="0"/>
        <i val="0"/>
        <strike val="0"/>
        <condense val="0"/>
        <extend val="0"/>
        <outline val="0"/>
        <shadow val="0"/>
        <u val="none"/>
        <vertAlign val="baseline"/>
        <sz val="11"/>
        <color theme="1"/>
        <name val="Aptos Narrow"/>
        <family val="2"/>
        <scheme val="minor"/>
      </font>
      <numFmt numFmtId="19" formatCode="dd/mm/yyyy"/>
    </dxf>
    <dxf>
      <font>
        <b val="0"/>
        <i val="0"/>
        <strike val="0"/>
        <condense val="0"/>
        <extend val="0"/>
        <outline val="0"/>
        <shadow val="0"/>
        <u val="none"/>
        <vertAlign val="baseline"/>
        <sz val="11"/>
        <color theme="1"/>
        <name val="Aptos Narrow"/>
        <family val="2"/>
        <scheme val="minor"/>
      </font>
    </dxf>
    <dxf>
      <border outline="0">
        <left style="thin">
          <color theme="4"/>
        </left>
        <right style="thin">
          <color theme="4"/>
        </right>
        <top style="thin">
          <color theme="4"/>
        </top>
        <bottom style="thin">
          <color theme="4"/>
        </bottom>
      </border>
    </dxf>
    <dxf>
      <font>
        <b val="0"/>
        <i val="0"/>
        <strike val="0"/>
        <condense val="0"/>
        <extend val="0"/>
        <outline val="0"/>
        <shadow val="0"/>
        <u val="none"/>
        <vertAlign val="baseline"/>
        <sz val="11"/>
        <color theme="1"/>
        <name val="Aptos Narrow"/>
        <family val="2"/>
        <scheme val="minor"/>
      </font>
    </dxf>
    <dxf>
      <font>
        <b val="0"/>
        <i val="0"/>
        <strike val="0"/>
        <condense val="0"/>
        <extend val="0"/>
        <outline val="0"/>
        <shadow val="0"/>
        <u val="none"/>
        <vertAlign val="baseline"/>
        <sz val="11"/>
        <color theme="1"/>
        <name val="Aptos Narrow"/>
        <family val="2"/>
        <scheme val="minor"/>
      </font>
      <fill>
        <patternFill patternType="solid">
          <fgColor indexed="64"/>
          <bgColor theme="4"/>
        </patternFill>
      </fill>
    </dxf>
    <dxf>
      <font>
        <color rgb="FF006100"/>
      </font>
      <fill>
        <patternFill>
          <bgColor rgb="FFC6EFCE"/>
        </patternFill>
      </fill>
    </dxf>
    <dxf>
      <font>
        <b/>
        <color theme="1"/>
      </font>
      <border>
        <bottom style="thin">
          <color rgb="FF4F81BD"/>
        </bottom>
        <vertical/>
        <horizontal/>
      </border>
    </dxf>
    <dxf>
      <font>
        <color theme="1"/>
      </font>
      <fill>
        <patternFill>
          <bgColor theme="4" tint="-0.24994659260841701"/>
        </patternFill>
      </fill>
      <border diagonalUp="0" diagonalDown="0">
        <left/>
        <right/>
        <top/>
        <bottom/>
        <vertical/>
        <horizontal/>
      </border>
    </dxf>
    <dxf>
      <font>
        <b/>
        <color theme="1"/>
      </font>
      <border>
        <bottom style="thin">
          <color rgb="FF4F81BD"/>
        </bottom>
        <vertical/>
        <horizontal/>
      </border>
    </dxf>
    <dxf>
      <font>
        <color theme="1"/>
      </font>
      <fill>
        <patternFill>
          <bgColor rgb="FF153462"/>
        </patternFill>
      </fill>
      <border diagonalUp="0" diagonalDown="0">
        <left/>
        <right/>
        <top/>
        <bottom/>
        <vertical/>
        <horizontal/>
      </border>
    </dxf>
    <dxf>
      <font>
        <b/>
        <color theme="1"/>
      </font>
      <border>
        <bottom style="thin">
          <color theme="4"/>
        </bottom>
        <vertical/>
        <horizontal/>
      </border>
    </dxf>
    <dxf>
      <font>
        <color theme="1"/>
      </font>
      <fill>
        <patternFill patternType="solid">
          <bgColor theme="4"/>
        </patternFill>
      </fill>
      <border diagonalUp="0" diagonalDown="0">
        <left/>
        <right/>
        <top/>
        <bottom/>
        <vertical/>
        <horizontal/>
      </border>
    </dxf>
  </dxfs>
  <tableStyles count="3" defaultTableStyle="TableStyleMedium2" defaultPivotStyle="PivotStyleLight16">
    <tableStyle name="SlicerStyleDark1 2" pivot="0" table="0" count="10" xr9:uid="{C49E691C-93EF-450A-B30A-16168589E265}">
      <tableStyleElement type="wholeTable" dxfId="20"/>
      <tableStyleElement type="headerRow" dxfId="19"/>
    </tableStyle>
    <tableStyle name="SlicerStyleOther2 2" pivot="0" table="0" count="10" xr9:uid="{7E9DBF41-7A92-4109-85F8-592024F66079}">
      <tableStyleElement type="wholeTable" dxfId="18"/>
      <tableStyleElement type="headerRow" dxfId="17"/>
    </tableStyle>
    <tableStyle name="SlicerStyleOther2 2 2" pivot="0" table="0" count="10" xr9:uid="{58E2FA8D-DF03-463D-89FB-17939DF579B3}">
      <tableStyleElement type="wholeTable" dxfId="16"/>
      <tableStyleElement type="headerRow" dxfId="15"/>
    </tableStyle>
  </tableStyles>
  <colors>
    <mruColors>
      <color rgb="FF538022"/>
      <color rgb="FFC7E6A4"/>
      <color rgb="FF113751"/>
      <color rgb="FFFFE79B"/>
      <color rgb="FF2B6A97"/>
      <color rgb="FF2458A4"/>
      <color rgb="FF2356A1"/>
      <color rgb="FF1E4A8A"/>
      <color rgb="FF153462"/>
      <color rgb="FFFFD44B"/>
    </mruColors>
  </colors>
  <extLst>
    <ext xmlns:x14="http://schemas.microsoft.com/office/spreadsheetml/2009/9/main" uri="{46F421CA-312F-682f-3DD2-61675219B42D}">
      <x14:dxfs count="24">
        <dxf>
          <font>
            <color theme="1"/>
          </font>
          <fill>
            <gradientFill degree="90">
              <stop position="0">
                <color rgb="FFF8E162"/>
              </stop>
              <stop position="1">
                <color rgb="FFFCF7F4"/>
              </stop>
            </gradientFill>
          </fill>
          <border>
            <left style="thin">
              <color rgb="FF999999"/>
            </left>
            <right style="thin">
              <color rgb="FF999999"/>
            </right>
            <top style="thin">
              <color rgb="FF999999"/>
            </top>
            <bottom style="thin">
              <color rgb="FF999999"/>
            </bottom>
            <vertical/>
            <horizontal/>
          </border>
        </dxf>
        <dxf>
          <font>
            <color theme="1"/>
          </font>
          <fill>
            <gradientFill degree="90">
              <stop position="0">
                <color rgb="FFF8E162"/>
              </stop>
              <stop position="1">
                <color rgb="FFFCF7F4"/>
              </stop>
            </gradientFill>
          </fill>
          <border>
            <left style="thin">
              <color rgb="FF999999"/>
            </left>
            <right style="thin">
              <color rgb="FF999999"/>
            </right>
            <top style="thin">
              <color rgb="FF999999"/>
            </top>
            <bottom style="thin">
              <color rgb="FF999999"/>
            </bottom>
            <vertical/>
            <horizontal/>
          </border>
        </dxf>
        <dxf>
          <font>
            <color theme="1"/>
          </font>
          <fill>
            <gradientFill degree="90">
              <stop position="0">
                <color rgb="FFF8E162"/>
              </stop>
              <stop position="1">
                <color rgb="FFFCF7F4"/>
              </stop>
            </gradientFill>
          </fill>
          <border>
            <left style="thin">
              <color rgb="FF999999"/>
            </left>
            <right style="thin">
              <color rgb="FF999999"/>
            </right>
            <top style="thin">
              <color rgb="FF999999"/>
            </top>
            <bottom style="thin">
              <color rgb="FF999999"/>
            </bottom>
            <vertical/>
            <horizontal/>
          </border>
        </dxf>
        <dxf>
          <font>
            <color theme="1"/>
          </font>
          <fill>
            <gradientFill degree="90">
              <stop position="0">
                <color rgb="FFF8E162"/>
              </stop>
              <stop position="1">
                <color rgb="FFFCF7F4"/>
              </stop>
            </gradientFill>
          </fill>
          <border>
            <left style="thin">
              <color rgb="FF999999"/>
            </left>
            <right style="thin">
              <color rgb="FF999999"/>
            </right>
            <top style="thin">
              <color rgb="FF999999"/>
            </top>
            <bottom style="thin">
              <color rgb="FF999999"/>
            </bottom>
            <vertical/>
            <horizontal/>
          </border>
        </dxf>
        <dxf>
          <font>
            <color rgb="FF828282"/>
          </font>
          <fill>
            <gradientFill degree="90">
              <stop position="0">
                <color rgb="FFD1E0F5"/>
              </stop>
              <stop position="1">
                <color rgb="FFE9F2FB"/>
              </stop>
            </gradientFill>
          </fill>
          <border>
            <left style="thin">
              <color rgb="FFCCCCCC"/>
            </left>
            <right style="thin">
              <color rgb="FFCCCCCC"/>
            </right>
            <top style="thin">
              <color rgb="FFCCCCCC"/>
            </top>
            <bottom style="thin">
              <color rgb="FFCCCCCC"/>
            </bottom>
            <vertical/>
            <horizontal/>
          </border>
        </dxf>
        <dxf>
          <font>
            <color auto="1"/>
          </font>
          <fill>
            <patternFill patternType="solid">
              <fgColor auto="1"/>
              <bgColor theme="5"/>
            </patternFill>
          </fill>
          <border>
            <left style="thin">
              <color rgb="FF999999"/>
            </left>
            <right style="thin">
              <color rgb="FF999999"/>
            </right>
            <top style="thin">
              <color rgb="FF999999"/>
            </top>
            <bottom style="thin">
              <color rgb="FF999999"/>
            </bottom>
            <vertical/>
            <horizontal/>
          </border>
        </dxf>
        <dxf>
          <font>
            <color rgb="FF828282"/>
          </font>
          <fill>
            <gradientFill degree="90">
              <stop position="0">
                <color rgb="FFF2F4F6"/>
              </stop>
              <stop position="1">
                <color rgb="FFFEFEFE"/>
              </stop>
            </gradientFill>
          </fill>
          <border>
            <left style="thin">
              <color rgb="FFE0E0E0"/>
            </left>
            <right style="thin">
              <color rgb="FFE0E0E0"/>
            </right>
            <top style="thin">
              <color rgb="FFE0E0E0"/>
            </top>
            <bottom style="thin">
              <color rgb="FFE0E0E0"/>
            </bottom>
            <vertical/>
            <horizontal/>
          </border>
        </dxf>
        <dxf>
          <font>
            <color rgb="FF000000"/>
          </font>
          <fill>
            <patternFill patternType="solid">
              <fgColor auto="1"/>
              <bgColor rgb="FFEFF0F4"/>
            </patternFill>
          </fill>
          <border>
            <left style="thin">
              <color rgb="FFCCCCCC"/>
            </left>
            <right style="thin">
              <color rgb="FFCCCCCC"/>
            </right>
            <top style="thin">
              <color rgb="FFCCCCCC"/>
            </top>
            <bottom style="thin">
              <color rgb="FFCCCCCC"/>
            </bottom>
            <vertical/>
            <horizontal/>
          </border>
        </dxf>
        <dxf>
          <font>
            <color theme="1"/>
          </font>
          <fill>
            <gradientFill degree="90">
              <stop position="0">
                <color rgb="FFF8E162"/>
              </stop>
              <stop position="1">
                <color rgb="FFFCF7F4"/>
              </stop>
            </gradientFill>
          </fill>
          <border>
            <left style="thin">
              <color rgb="FF999999"/>
            </left>
            <right style="thin">
              <color rgb="FF999999"/>
            </right>
            <top style="thin">
              <color rgb="FF999999"/>
            </top>
            <bottom style="thin">
              <color rgb="FF999999"/>
            </bottom>
            <vertical/>
            <horizontal/>
          </border>
        </dxf>
        <dxf>
          <font>
            <color theme="1"/>
          </font>
          <fill>
            <gradientFill degree="90">
              <stop position="0">
                <color rgb="FFF8E162"/>
              </stop>
              <stop position="1">
                <color rgb="FFFCF7F4"/>
              </stop>
            </gradientFill>
          </fill>
          <border>
            <left style="thin">
              <color rgb="FF999999"/>
            </left>
            <right style="thin">
              <color rgb="FF999999"/>
            </right>
            <top style="thin">
              <color rgb="FF999999"/>
            </top>
            <bottom style="thin">
              <color rgb="FF999999"/>
            </bottom>
            <vertical/>
            <horizontal/>
          </border>
        </dxf>
        <dxf>
          <font>
            <color theme="1"/>
          </font>
          <fill>
            <gradientFill degree="90">
              <stop position="0">
                <color rgb="FFF8E162"/>
              </stop>
              <stop position="1">
                <color rgb="FFFCF7F4"/>
              </stop>
            </gradientFill>
          </fill>
          <border>
            <left style="thin">
              <color rgb="FF999999"/>
            </left>
            <right style="thin">
              <color rgb="FF999999"/>
            </right>
            <top style="thin">
              <color rgb="FF999999"/>
            </top>
            <bottom style="thin">
              <color rgb="FF999999"/>
            </bottom>
            <vertical/>
            <horizontal/>
          </border>
        </dxf>
        <dxf>
          <font>
            <color theme="1"/>
          </font>
          <fill>
            <gradientFill degree="90">
              <stop position="0">
                <color rgb="FFF8E162"/>
              </stop>
              <stop position="1">
                <color rgb="FFFCF7F4"/>
              </stop>
            </gradientFill>
          </fill>
          <border>
            <left style="thin">
              <color rgb="FF999999"/>
            </left>
            <right style="thin">
              <color rgb="FF999999"/>
            </right>
            <top style="thin">
              <color rgb="FF999999"/>
            </top>
            <bottom style="thin">
              <color rgb="FF999999"/>
            </bottom>
            <vertical/>
            <horizontal/>
          </border>
        </dxf>
        <dxf>
          <font>
            <color rgb="FF828282"/>
          </font>
          <fill>
            <gradientFill degree="90">
              <stop position="0">
                <color rgb="FFD1E0F5"/>
              </stop>
              <stop position="1">
                <color rgb="FFE9F2FB"/>
              </stop>
            </gradientFill>
          </fill>
          <border>
            <left style="thin">
              <color rgb="FFCCCCCC"/>
            </left>
            <right style="thin">
              <color rgb="FFCCCCCC"/>
            </right>
            <top style="thin">
              <color rgb="FFCCCCCC"/>
            </top>
            <bottom style="thin">
              <color rgb="FFCCCCCC"/>
            </bottom>
            <vertical/>
            <horizontal/>
          </border>
        </dxf>
        <dxf>
          <font>
            <color auto="1"/>
          </font>
          <fill>
            <patternFill patternType="solid">
              <fgColor auto="1"/>
              <bgColor theme="5"/>
            </patternFill>
          </fill>
          <border>
            <left style="thin">
              <color rgb="FF999999"/>
            </left>
            <right style="thin">
              <color rgb="FF999999"/>
            </right>
            <top style="thin">
              <color rgb="FF999999"/>
            </top>
            <bottom style="thin">
              <color rgb="FF999999"/>
            </bottom>
            <vertical/>
            <horizontal/>
          </border>
        </dxf>
        <dxf>
          <font>
            <color rgb="FF828282"/>
          </font>
          <fill>
            <gradientFill degree="90">
              <stop position="0">
                <color rgb="FFF2F4F6"/>
              </stop>
              <stop position="1">
                <color rgb="FFFEFEFE"/>
              </stop>
            </gradientFill>
          </fill>
          <border>
            <left style="thin">
              <color rgb="FFE0E0E0"/>
            </left>
            <right style="thin">
              <color rgb="FFE0E0E0"/>
            </right>
            <top style="thin">
              <color rgb="FFE0E0E0"/>
            </top>
            <bottom style="thin">
              <color rgb="FFE0E0E0"/>
            </bottom>
            <vertical/>
            <horizontal/>
          </border>
        </dxf>
        <dxf>
          <font>
            <color rgb="FF000000"/>
          </font>
          <fill>
            <patternFill patternType="solid">
              <fgColor auto="1"/>
              <bgColor rgb="FFEFF0F4"/>
            </patternFill>
          </fill>
          <border>
            <left style="thin">
              <color rgb="FFCCCCCC"/>
            </left>
            <right style="thin">
              <color rgb="FFCCCCCC"/>
            </right>
            <top style="thin">
              <color rgb="FFCCCCCC"/>
            </top>
            <bottom style="thin">
              <color rgb="FFCCCCCC"/>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theme="4" tint="-0.249977111117893"/>
          </font>
          <fill>
            <patternFill patternType="solid">
              <fgColor theme="4" tint="0.59999389629810485"/>
              <bgColor theme="4" tint="0.59999389629810485"/>
            </patternFill>
          </fill>
          <border>
            <left style="thin">
              <color theme="4" tint="0.59999389629810485"/>
            </left>
            <right style="thin">
              <color theme="4" tint="0.59999389629810485"/>
            </right>
            <top style="thin">
              <color theme="4" tint="0.59999389629810485"/>
            </top>
            <bottom style="thin">
              <color theme="4" tint="0.59999389629810485"/>
            </bottom>
            <vertical/>
            <horizontal/>
          </border>
        </dxf>
        <dxf>
          <font>
            <color theme="0"/>
          </font>
          <fill>
            <patternFill patternType="solid">
              <fgColor theme="4"/>
              <bgColor rgb="FF2B6A97"/>
            </patternFill>
          </fill>
          <border>
            <left style="thin">
              <color theme="4"/>
            </left>
            <right style="thin">
              <color theme="4"/>
            </right>
            <top style="thin">
              <color theme="4"/>
            </top>
            <bottom style="thin">
              <color theme="4"/>
            </bottom>
            <vertical/>
            <horizontal/>
          </border>
        </dxf>
        <dxf>
          <font>
            <color rgb="FF959595"/>
          </font>
          <fill>
            <patternFill patternType="solid">
              <fgColor theme="2"/>
              <bgColor theme="0" tint="-4.9989318521683403E-2"/>
            </patternFill>
          </fill>
          <border>
            <left style="thin">
              <color rgb="FFDFDFDF"/>
            </left>
            <right style="thin">
              <color rgb="FFDFDFDF"/>
            </right>
            <top style="thin">
              <color rgb="FFDFDFDF"/>
            </top>
            <bottom style="thin">
              <color rgb="FFDFDFDF"/>
            </bottom>
            <vertical/>
            <horizontal/>
          </border>
        </dxf>
        <dxf>
          <font>
            <color rgb="FF000000"/>
          </font>
          <fill>
            <patternFill patternType="solid">
              <fgColor rgb="FFC0C0C0"/>
              <bgColor theme="0"/>
            </patternFill>
          </fill>
          <border>
            <left style="thin">
              <color rgb="FFC0C0C0"/>
            </left>
            <right style="thin">
              <color rgb="FFC0C0C0"/>
            </right>
            <top style="thin">
              <color rgb="FFC0C0C0"/>
            </top>
            <bottom style="thin">
              <color rgb="FFC0C0C0"/>
            </bottom>
            <vertical/>
            <horizontal/>
          </border>
        </dxf>
      </x14:dxfs>
    </ext>
    <ext xmlns:x14="http://schemas.microsoft.com/office/spreadsheetml/2009/9/main" uri="{EB79DEF2-80B8-43e5-95BD-54CBDDF9020C}">
      <x14:slicerStyles defaultSlicerStyle="SlicerStyleLight1">
        <x14:slicerStyle name="SlicerStyleDark1 2">
          <x14:slicerStyleElements>
            <x14:slicerStyleElement type="unselectedItemWithData" dxfId="23"/>
            <x14:slicerStyleElement type="unselectedItemWithNoData" dxfId="22"/>
            <x14:slicerStyleElement type="selectedItemWithData" dxfId="21"/>
            <x14:slicerStyleElement type="selectedItemWithNoData" dxfId="20"/>
            <x14:slicerStyleElement type="hoveredUnselectedItemWithData" dxfId="19"/>
            <x14:slicerStyleElement type="hoveredSelectedItemWithData" dxfId="18"/>
            <x14:slicerStyleElement type="hoveredUnselectedItemWithNoData" dxfId="17"/>
            <x14:slicerStyleElement type="hoveredSelectedItemWithNoData" dxfId="16"/>
          </x14:slicerStyleElements>
        </x14:slicerStyle>
        <x14:slicerStyle name="SlicerStyleOther2 2">
          <x14:slicerStyleElements>
            <x14:slicerStyleElement type="unselectedItemWithData" dxfId="15"/>
            <x14:slicerStyleElement type="unselectedItemWithNoData" dxfId="14"/>
            <x14:slicerStyleElement type="selectedItemWithData" dxfId="13"/>
            <x14:slicerStyleElement type="selectedItemWithNoData" dxfId="12"/>
            <x14:slicerStyleElement type="hoveredUnselectedItemWithData" dxfId="11"/>
            <x14:slicerStyleElement type="hoveredSelectedItemWithData" dxfId="10"/>
            <x14:slicerStyleElement type="hoveredUnselectedItemWithNoData" dxfId="9"/>
            <x14:slicerStyleElement type="hoveredSelectedItemWithNoData" dxfId="8"/>
          </x14:slicerStyleElements>
        </x14:slicerStyle>
        <x14:slicerStyle name="SlicerStyleOther2 2 2">
          <x14:slicerStyleElements>
            <x14:slicerStyleElement type="unselectedItemWithData" dxfId="7"/>
            <x14:slicerStyleElement type="unselectedItemWithNoData" dxfId="6"/>
            <x14:slicerStyleElement type="selectedItemWithData" dxfId="5"/>
            <x14:slicerStyleElement type="selectedItemWithNoData" dxfId="4"/>
            <x14:slicerStyleElement type="hoveredUnselectedItemWithData" dxfId="3"/>
            <x14:slicerStyleElement type="hoveredSelectedItemWithData" dxfId="2"/>
            <x14:slicerStyleElement type="hoveredUnselectedItemWithNoData" dxfId="1"/>
            <x14:slicerStyleElement type="hoveredSelectedItemWithNoData" dxfId="0"/>
          </x14:slicerStyleElements>
        </x14:slicerStyle>
      </x14:slicerStyles>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pivotCacheDefinition" Target="pivotCache/pivotCacheDefinition1.xml"/><Relationship Id="rId13"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theme" Target="theme/theme1.xml"/><Relationship Id="rId2" Type="http://schemas.openxmlformats.org/officeDocument/2006/relationships/worksheet" Target="worksheets/sheet2.xml"/><Relationship Id="rId16"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microsoft.com/office/2007/relationships/slicerCache" Target="slicerCaches/slicerCache2.xml"/><Relationship Id="rId5" Type="http://schemas.openxmlformats.org/officeDocument/2006/relationships/worksheet" Target="worksheets/sheet5.xml"/><Relationship Id="rId15" Type="http://schemas.openxmlformats.org/officeDocument/2006/relationships/calcChain" Target="calcChain.xml"/><Relationship Id="rId10" Type="http://schemas.microsoft.com/office/2007/relationships/slicerCache" Target="slicerCaches/slicerCache1.xml"/><Relationship Id="rId4" Type="http://schemas.openxmlformats.org/officeDocument/2006/relationships/worksheet" Target="worksheets/sheet4.xml"/><Relationship Id="rId9" Type="http://schemas.openxmlformats.org/officeDocument/2006/relationships/pivotCacheDefinition" Target="pivotCache/pivotCacheDefinition2.xml"/><Relationship Id="rId14" Type="http://schemas.openxmlformats.org/officeDocument/2006/relationships/sharedStrings" Target="sharedStrings.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4.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[expense_tracker.xlsm]Bar - monthly expense!Monthly spendings</c:name>
    <c:fmtId val="22"/>
  </c:pivotSource>
  <c:chart>
    <c:autoTitleDeleted val="1"/>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7"/>
        <c:spPr>
          <a:solidFill>
            <a:schemeClr val="accent1"/>
          </a:solidFill>
          <a:ln>
            <a:solidFill>
              <a:schemeClr val="tx1"/>
            </a:solidFill>
          </a:ln>
          <a:effectLst/>
        </c:spPr>
      </c:pivotFmt>
      <c:pivotFmt>
        <c:idx val="8"/>
        <c:spPr>
          <a:solidFill>
            <a:schemeClr val="accent1"/>
          </a:solidFill>
          <a:ln>
            <a:noFill/>
          </a:ln>
          <a:effectLst/>
        </c:spPr>
        <c:marker>
          <c:symbol val="none"/>
        </c:marker>
        <c:dLbl>
          <c:idx val="0"/>
          <c:showLegendKey val="0"/>
          <c:showVal val="1"/>
          <c:showCatName val="0"/>
          <c:showSerName val="0"/>
          <c:showPercent val="0"/>
          <c:showBubbleSize val="0"/>
          <c:extLst>
            <c:ext xmlns:c15="http://schemas.microsoft.com/office/drawing/2012/chart" uri="{CE6537A1-D6FC-4f65-9D91-7224C49458BB}"/>
          </c:extLst>
        </c:dLbl>
      </c:pivotFmt>
      <c:pivotFmt>
        <c:idx val="9"/>
        <c:spPr>
          <a:solidFill>
            <a:schemeClr val="accent1"/>
          </a:solidFill>
          <a:ln>
            <a:noFill/>
          </a:ln>
          <a:effectLst/>
        </c:spPr>
        <c:marker>
          <c:symbol val="none"/>
        </c:marker>
        <c:dLbl>
          <c:idx val="0"/>
          <c:showLegendKey val="0"/>
          <c:showVal val="1"/>
          <c:showCatName val="0"/>
          <c:showSerName val="0"/>
          <c:showPercent val="0"/>
          <c:showBubbleSize val="0"/>
          <c:extLst>
            <c:ext xmlns:c15="http://schemas.microsoft.com/office/drawing/2012/chart" uri="{CE6537A1-D6FC-4f65-9D91-7224C49458BB}"/>
          </c:extLst>
        </c:dLbl>
      </c:pivotFmt>
      <c:pivotFmt>
        <c:idx val="10"/>
        <c:spPr>
          <a:solidFill>
            <a:schemeClr val="accent1"/>
          </a:solidFill>
          <a:ln>
            <a:noFill/>
          </a:ln>
          <a:effectLst/>
        </c:spPr>
        <c:marker>
          <c:symbol val="none"/>
        </c:marker>
        <c:dLbl>
          <c:idx val="0"/>
          <c:showLegendKey val="0"/>
          <c:showVal val="1"/>
          <c:showCatName val="0"/>
          <c:showSerName val="0"/>
          <c:showPercent val="0"/>
          <c:showBubbleSize val="0"/>
          <c:extLst>
            <c:ext xmlns:c15="http://schemas.microsoft.com/office/drawing/2012/chart" uri="{CE6537A1-D6FC-4f65-9D91-7224C49458BB}"/>
          </c:extLst>
        </c:dLbl>
      </c:pivotFmt>
      <c:pivotFmt>
        <c:idx val="11"/>
        <c:spPr>
          <a:solidFill>
            <a:schemeClr val="accent1"/>
          </a:solidFill>
          <a:ln>
            <a:noFill/>
          </a:ln>
          <a:effectLst/>
        </c:spPr>
        <c:marker>
          <c:symbol val="none"/>
        </c:marker>
        <c:dLbl>
          <c:idx val="0"/>
          <c:showLegendKey val="0"/>
          <c:showVal val="1"/>
          <c:showCatName val="0"/>
          <c:showSerName val="0"/>
          <c:showPercent val="0"/>
          <c:showBubbleSize val="0"/>
          <c:extLst>
            <c:ext xmlns:c15="http://schemas.microsoft.com/office/drawing/2012/chart" uri="{CE6537A1-D6FC-4f65-9D91-7224C49458BB}"/>
          </c:extLst>
        </c:dLbl>
      </c:pivotFmt>
      <c:pivotFmt>
        <c:idx val="12"/>
        <c:spPr>
          <a:solidFill>
            <a:schemeClr val="accent1"/>
          </a:solidFill>
          <a:ln>
            <a:noFill/>
          </a:ln>
          <a:effectLst/>
        </c:spPr>
        <c:marker>
          <c:symbol val="none"/>
        </c:marker>
        <c:dLbl>
          <c:idx val="0"/>
          <c:showLegendKey val="0"/>
          <c:showVal val="1"/>
          <c:showCatName val="0"/>
          <c:showSerName val="0"/>
          <c:showPercent val="0"/>
          <c:showBubbleSize val="0"/>
          <c:extLst>
            <c:ext xmlns:c15="http://schemas.microsoft.com/office/drawing/2012/chart" uri="{CE6537A1-D6FC-4f65-9D91-7224C49458BB}"/>
          </c:extLst>
        </c:dLbl>
      </c:pivotFmt>
      <c:pivotFmt>
        <c:idx val="13"/>
        <c:spPr>
          <a:solidFill>
            <a:schemeClr val="accent1"/>
          </a:solidFill>
          <a:ln>
            <a:noFill/>
          </a:ln>
          <a:effectLst/>
        </c:spPr>
        <c:marker>
          <c:symbol val="none"/>
        </c:marker>
        <c:dLbl>
          <c:idx val="0"/>
          <c:showLegendKey val="0"/>
          <c:showVal val="1"/>
          <c:showCatName val="0"/>
          <c:showSerName val="0"/>
          <c:showPercent val="0"/>
          <c:showBubbleSize val="0"/>
          <c:extLst>
            <c:ext xmlns:c15="http://schemas.microsoft.com/office/drawing/2012/chart" uri="{CE6537A1-D6FC-4f65-9D91-7224C49458BB}"/>
          </c:extLst>
        </c:dLbl>
      </c:pivotFmt>
      <c:pivotFmt>
        <c:idx val="14"/>
        <c:spPr>
          <a:solidFill>
            <a:schemeClr val="accent1"/>
          </a:solidFill>
          <a:ln>
            <a:noFill/>
          </a:ln>
          <a:effectLst/>
        </c:spPr>
        <c:marker>
          <c:symbol val="none"/>
        </c:marker>
        <c:dLbl>
          <c:idx val="0"/>
          <c:showLegendKey val="0"/>
          <c:showVal val="1"/>
          <c:showCatName val="0"/>
          <c:showSerName val="0"/>
          <c:showPercent val="0"/>
          <c:showBubbleSize val="0"/>
          <c:extLst>
            <c:ext xmlns:c15="http://schemas.microsoft.com/office/drawing/2012/chart" uri="{CE6537A1-D6FC-4f65-9D91-7224C49458BB}"/>
          </c:extLst>
        </c:dLbl>
      </c:pivotFmt>
      <c:pivotFmt>
        <c:idx val="15"/>
        <c:spPr>
          <a:solidFill>
            <a:schemeClr val="accent1"/>
          </a:solidFill>
          <a:ln>
            <a:noFill/>
          </a:ln>
          <a:effectLst/>
        </c:spPr>
        <c:marker>
          <c:symbol val="none"/>
        </c:marker>
        <c:dLbl>
          <c:idx val="0"/>
          <c:showLegendKey val="0"/>
          <c:showVal val="1"/>
          <c:showCatName val="0"/>
          <c:showSerName val="0"/>
          <c:showPercent val="0"/>
          <c:showBubbleSize val="0"/>
          <c:extLst>
            <c:ext xmlns:c15="http://schemas.microsoft.com/office/drawing/2012/chart" uri="{CE6537A1-D6FC-4f65-9D91-7224C49458BB}"/>
          </c:extLst>
        </c:dLbl>
      </c:pivotFmt>
      <c:pivotFmt>
        <c:idx val="16"/>
        <c:spPr>
          <a:solidFill>
            <a:schemeClr val="accent1"/>
          </a:solidFill>
          <a:ln>
            <a:noFill/>
          </a:ln>
          <a:effectLst/>
        </c:spPr>
        <c:marker>
          <c:symbol val="none"/>
        </c:marker>
        <c:dLbl>
          <c:idx val="0"/>
          <c:showLegendKey val="0"/>
          <c:showVal val="1"/>
          <c:showCatName val="0"/>
          <c:showSerName val="0"/>
          <c:showPercent val="0"/>
          <c:showBubbleSize val="0"/>
          <c:extLst>
            <c:ext xmlns:c15="http://schemas.microsoft.com/office/drawing/2012/chart" uri="{CE6537A1-D6FC-4f65-9D91-7224C49458BB}"/>
          </c:extLst>
        </c:dLbl>
      </c:pivotFmt>
      <c:pivotFmt>
        <c:idx val="17"/>
        <c:spPr>
          <a:solidFill>
            <a:schemeClr val="accent1"/>
          </a:solidFill>
          <a:ln>
            <a:noFill/>
          </a:ln>
          <a:effectLst/>
        </c:spPr>
        <c:marker>
          <c:symbol val="none"/>
        </c:marker>
        <c:dLbl>
          <c:idx val="0"/>
          <c:showLegendKey val="0"/>
          <c:showVal val="1"/>
          <c:showCatName val="0"/>
          <c:showSerName val="0"/>
          <c:showPercent val="0"/>
          <c:showBubbleSize val="0"/>
          <c:extLst>
            <c:ext xmlns:c15="http://schemas.microsoft.com/office/drawing/2012/chart" uri="{CE6537A1-D6FC-4f65-9D91-7224C49458BB}"/>
          </c:extLst>
        </c:dLbl>
      </c:pivotFmt>
      <c:pivotFmt>
        <c:idx val="18"/>
        <c:spPr>
          <a:solidFill>
            <a:schemeClr val="accent1"/>
          </a:solidFill>
          <a:ln>
            <a:noFill/>
          </a:ln>
          <a:effectLst/>
        </c:spPr>
        <c:marker>
          <c:symbol val="none"/>
        </c:marker>
        <c:dLbl>
          <c:idx val="0"/>
          <c:showLegendKey val="0"/>
          <c:showVal val="1"/>
          <c:showCatName val="0"/>
          <c:showSerName val="0"/>
          <c:showPercent val="0"/>
          <c:showBubbleSize val="0"/>
          <c:extLst>
            <c:ext xmlns:c15="http://schemas.microsoft.com/office/drawing/2012/chart" uri="{CE6537A1-D6FC-4f65-9D91-7224C49458BB}"/>
          </c:extLst>
        </c:dLbl>
      </c:pivotFmt>
      <c:pivotFmt>
        <c:idx val="19"/>
        <c:spPr>
          <a:solidFill>
            <a:schemeClr val="accent1"/>
          </a:solidFill>
          <a:ln>
            <a:noFill/>
          </a:ln>
          <a:effectLst/>
        </c:spPr>
        <c:marker>
          <c:symbol val="none"/>
        </c:marker>
        <c:dLbl>
          <c:idx val="0"/>
          <c:showLegendKey val="0"/>
          <c:showVal val="1"/>
          <c:showCatName val="0"/>
          <c:showSerName val="0"/>
          <c:showPercent val="0"/>
          <c:showBubbleSize val="0"/>
          <c:extLst>
            <c:ext xmlns:c15="http://schemas.microsoft.com/office/drawing/2012/chart" uri="{CE6537A1-D6FC-4f65-9D91-7224C49458BB}"/>
          </c:extLst>
        </c:dLbl>
      </c:pivotFmt>
      <c:pivotFmt>
        <c:idx val="20"/>
        <c:spPr>
          <a:solidFill>
            <a:schemeClr val="accent1"/>
          </a:solidFill>
          <a:ln>
            <a:noFill/>
          </a:ln>
          <a:effectLst/>
        </c:spPr>
        <c:marker>
          <c:symbol val="none"/>
        </c:marker>
        <c:dLbl>
          <c:idx val="0"/>
          <c:showLegendKey val="0"/>
          <c:showVal val="1"/>
          <c:showCatName val="0"/>
          <c:showSerName val="0"/>
          <c:showPercent val="0"/>
          <c:showBubbleSize val="0"/>
          <c:extLst>
            <c:ext xmlns:c15="http://schemas.microsoft.com/office/drawing/2012/chart" uri="{CE6537A1-D6FC-4f65-9D91-7224C49458BB}"/>
          </c:extLst>
        </c:dLbl>
      </c:pivotFmt>
      <c:pivotFmt>
        <c:idx val="21"/>
        <c:spPr>
          <a:solidFill>
            <a:schemeClr val="accent1"/>
          </a:solidFill>
          <a:ln>
            <a:noFill/>
          </a:ln>
          <a:effectLst/>
        </c:spPr>
        <c:marker>
          <c:symbol val="none"/>
        </c:marker>
        <c:dLbl>
          <c:idx val="0"/>
          <c:showLegendKey val="0"/>
          <c:showVal val="1"/>
          <c:showCatName val="0"/>
          <c:showSerName val="0"/>
          <c:showPercent val="0"/>
          <c:showBubbleSize val="0"/>
          <c:extLst>
            <c:ext xmlns:c15="http://schemas.microsoft.com/office/drawing/2012/chart" uri="{CE6537A1-D6FC-4f65-9D91-7224C49458BB}"/>
          </c:extLst>
        </c:dLbl>
      </c:pivotFmt>
      <c:pivotFmt>
        <c:idx val="22"/>
        <c:spPr>
          <a:solidFill>
            <a:schemeClr val="accent1"/>
          </a:solidFill>
          <a:ln>
            <a:noFill/>
          </a:ln>
          <a:effectLst/>
        </c:spPr>
        <c:marker>
          <c:symbol val="none"/>
        </c:marker>
        <c:dLbl>
          <c:idx val="0"/>
          <c:showLegendKey val="0"/>
          <c:showVal val="1"/>
          <c:showCatName val="0"/>
          <c:showSerName val="0"/>
          <c:showPercent val="0"/>
          <c:showBubbleSize val="0"/>
          <c:extLst>
            <c:ext xmlns:c15="http://schemas.microsoft.com/office/drawing/2012/chart" uri="{CE6537A1-D6FC-4f65-9D91-7224C49458BB}"/>
          </c:extLst>
        </c:dLbl>
      </c:pivotFmt>
      <c:pivotFmt>
        <c:idx val="23"/>
        <c:spPr>
          <a:solidFill>
            <a:schemeClr val="accent1"/>
          </a:solidFill>
          <a:ln>
            <a:noFill/>
          </a:ln>
          <a:effectLst/>
        </c:spPr>
        <c:marker>
          <c:symbol val="none"/>
        </c:marker>
        <c:dLbl>
          <c:idx val="0"/>
          <c:showLegendKey val="0"/>
          <c:showVal val="1"/>
          <c:showCatName val="0"/>
          <c:showSerName val="0"/>
          <c:showPercent val="0"/>
          <c:showBubbleSize val="0"/>
          <c:extLst>
            <c:ext xmlns:c15="http://schemas.microsoft.com/office/drawing/2012/chart" uri="{CE6537A1-D6FC-4f65-9D91-7224C49458BB}"/>
          </c:extLst>
        </c:dLbl>
      </c:pivotFmt>
      <c:pivotFmt>
        <c:idx val="24"/>
        <c:spPr>
          <a:solidFill>
            <a:schemeClr val="accent1"/>
          </a:solidFill>
          <a:ln>
            <a:noFill/>
          </a:ln>
          <a:effectLst/>
        </c:spPr>
        <c:marker>
          <c:symbol val="none"/>
        </c:marker>
        <c:dLbl>
          <c:idx val="0"/>
          <c:showLegendKey val="0"/>
          <c:showVal val="1"/>
          <c:showCatName val="0"/>
          <c:showSerName val="0"/>
          <c:showPercent val="0"/>
          <c:showBubbleSize val="0"/>
          <c:extLst>
            <c:ext xmlns:c15="http://schemas.microsoft.com/office/drawing/2012/chart" uri="{CE6537A1-D6FC-4f65-9D91-7224C49458BB}"/>
          </c:extLst>
        </c:dLbl>
      </c:pivotFmt>
      <c:pivotFmt>
        <c:idx val="25"/>
        <c:spPr>
          <a:solidFill>
            <a:schemeClr val="accent1"/>
          </a:solidFill>
          <a:ln>
            <a:noFill/>
          </a:ln>
          <a:effectLst/>
        </c:spPr>
        <c:marker>
          <c:symbol val="none"/>
        </c:marker>
        <c:dLbl>
          <c:idx val="0"/>
          <c:showLegendKey val="0"/>
          <c:showVal val="1"/>
          <c:showCatName val="0"/>
          <c:showSerName val="0"/>
          <c:showPercent val="0"/>
          <c:showBubbleSize val="0"/>
          <c:extLst>
            <c:ext xmlns:c15="http://schemas.microsoft.com/office/drawing/2012/chart" uri="{CE6537A1-D6FC-4f65-9D91-7224C49458BB}"/>
          </c:extLst>
        </c:dLbl>
      </c:pivotFmt>
      <c:pivotFmt>
        <c:idx val="26"/>
        <c:spPr>
          <a:solidFill>
            <a:schemeClr val="accent1"/>
          </a:solidFill>
          <a:ln>
            <a:noFill/>
          </a:ln>
          <a:effectLst/>
        </c:spPr>
        <c:marker>
          <c:symbol val="none"/>
        </c:marker>
        <c:dLbl>
          <c:idx val="0"/>
          <c:showLegendKey val="0"/>
          <c:showVal val="1"/>
          <c:showCatName val="0"/>
          <c:showSerName val="0"/>
          <c:showPercent val="0"/>
          <c:showBubbleSize val="0"/>
          <c:extLst>
            <c:ext xmlns:c15="http://schemas.microsoft.com/office/drawing/2012/chart" uri="{CE6537A1-D6FC-4f65-9D91-7224C49458BB}"/>
          </c:extLst>
        </c:dLbl>
      </c:pivotFmt>
      <c:pivotFmt>
        <c:idx val="27"/>
        <c:spPr>
          <a:solidFill>
            <a:schemeClr val="accent1"/>
          </a:solidFill>
          <a:ln>
            <a:noFill/>
          </a:ln>
          <a:effectLst/>
        </c:spPr>
        <c:marker>
          <c:symbol val="none"/>
        </c:marker>
        <c:dLbl>
          <c:idx val="0"/>
          <c:showLegendKey val="0"/>
          <c:showVal val="1"/>
          <c:showCatName val="0"/>
          <c:showSerName val="0"/>
          <c:showPercent val="0"/>
          <c:showBubbleSize val="0"/>
          <c:extLst>
            <c:ext xmlns:c15="http://schemas.microsoft.com/office/drawing/2012/chart" uri="{CE6537A1-D6FC-4f65-9D91-7224C49458BB}"/>
          </c:extLst>
        </c:dLbl>
      </c:pivotFmt>
      <c:pivotFmt>
        <c:idx val="28"/>
        <c:spPr>
          <a:solidFill>
            <a:schemeClr val="accent1"/>
          </a:solidFill>
          <a:ln>
            <a:noFill/>
          </a:ln>
          <a:effectLst/>
        </c:spPr>
        <c:marker>
          <c:symbol val="none"/>
        </c:marker>
        <c:dLbl>
          <c:idx val="0"/>
          <c:showLegendKey val="0"/>
          <c:showVal val="1"/>
          <c:showCatName val="0"/>
          <c:showSerName val="0"/>
          <c:showPercent val="0"/>
          <c:showBubbleSize val="0"/>
          <c:extLst>
            <c:ext xmlns:c15="http://schemas.microsoft.com/office/drawing/2012/chart" uri="{CE6537A1-D6FC-4f65-9D91-7224C49458BB}"/>
          </c:extLst>
        </c:dLbl>
      </c:pivotFmt>
      <c:pivotFmt>
        <c:idx val="29"/>
        <c:spPr>
          <a:solidFill>
            <a:schemeClr val="accent1"/>
          </a:solidFill>
          <a:ln>
            <a:noFill/>
          </a:ln>
          <a:effectLst/>
        </c:spPr>
        <c:marker>
          <c:symbol val="none"/>
        </c:marker>
        <c:dLbl>
          <c:idx val="0"/>
          <c:showLegendKey val="0"/>
          <c:showVal val="1"/>
          <c:showCatName val="0"/>
          <c:showSerName val="0"/>
          <c:showPercent val="0"/>
          <c:showBubbleSize val="0"/>
          <c:extLst>
            <c:ext xmlns:c15="http://schemas.microsoft.com/office/drawing/2012/chart" uri="{CE6537A1-D6FC-4f65-9D91-7224C49458BB}"/>
          </c:extLst>
        </c:dLbl>
      </c:pivotFmt>
      <c:pivotFmt>
        <c:idx val="30"/>
        <c:spPr>
          <a:solidFill>
            <a:schemeClr val="accent1"/>
          </a:solidFill>
          <a:ln>
            <a:noFill/>
          </a:ln>
          <a:effectLst/>
        </c:spPr>
        <c:marker>
          <c:symbol val="none"/>
        </c:marker>
        <c:dLbl>
          <c:idx val="0"/>
          <c:showLegendKey val="0"/>
          <c:showVal val="1"/>
          <c:showCatName val="0"/>
          <c:showSerName val="0"/>
          <c:showPercent val="0"/>
          <c:showBubbleSize val="0"/>
          <c:extLst>
            <c:ext xmlns:c15="http://schemas.microsoft.com/office/drawing/2012/chart" uri="{CE6537A1-D6FC-4f65-9D91-7224C49458BB}"/>
          </c:extLst>
        </c:dLbl>
      </c:pivotFmt>
      <c:pivotFmt>
        <c:idx val="31"/>
        <c:spPr>
          <a:solidFill>
            <a:schemeClr val="accent1"/>
          </a:solidFill>
          <a:ln>
            <a:noFill/>
          </a:ln>
          <a:effectLst/>
        </c:spPr>
        <c:marker>
          <c:symbol val="none"/>
        </c:marker>
        <c:dLbl>
          <c:idx val="0"/>
          <c:showLegendKey val="0"/>
          <c:showVal val="1"/>
          <c:showCatName val="0"/>
          <c:showSerName val="0"/>
          <c:showPercent val="0"/>
          <c:showBubbleSize val="0"/>
          <c:extLst>
            <c:ext xmlns:c15="http://schemas.microsoft.com/office/drawing/2012/chart" uri="{CE6537A1-D6FC-4f65-9D91-7224C49458BB}"/>
          </c:extLst>
        </c:dLbl>
      </c:pivotFmt>
      <c:pivotFmt>
        <c:idx val="32"/>
        <c:spPr>
          <a:solidFill>
            <a:schemeClr val="accent1"/>
          </a:solidFill>
          <a:ln>
            <a:noFill/>
          </a:ln>
          <a:effectLst/>
        </c:spPr>
        <c:marker>
          <c:symbol val="none"/>
        </c:marker>
        <c:dLbl>
          <c:idx val="0"/>
          <c:showLegendKey val="0"/>
          <c:showVal val="1"/>
          <c:showCatName val="0"/>
          <c:showSerName val="0"/>
          <c:showPercent val="0"/>
          <c:showBubbleSize val="0"/>
          <c:extLst>
            <c:ext xmlns:c15="http://schemas.microsoft.com/office/drawing/2012/chart" uri="{CE6537A1-D6FC-4f65-9D91-7224C49458BB}"/>
          </c:extLst>
        </c:dLbl>
      </c:pivotFmt>
      <c:pivotFmt>
        <c:idx val="33"/>
        <c:spPr>
          <a:solidFill>
            <a:schemeClr val="accent1"/>
          </a:solidFill>
          <a:ln>
            <a:noFill/>
          </a:ln>
          <a:effectLst/>
        </c:spPr>
        <c:marker>
          <c:symbol val="none"/>
        </c:marker>
        <c:dLbl>
          <c:idx val="0"/>
          <c:showLegendKey val="0"/>
          <c:showVal val="1"/>
          <c:showCatName val="0"/>
          <c:showSerName val="0"/>
          <c:showPercent val="0"/>
          <c:showBubbleSize val="0"/>
          <c:extLst>
            <c:ext xmlns:c15="http://schemas.microsoft.com/office/drawing/2012/chart" uri="{CE6537A1-D6FC-4f65-9D91-7224C49458BB}"/>
          </c:extLst>
        </c:dLbl>
      </c:pivotFmt>
      <c:pivotFmt>
        <c:idx val="34"/>
        <c:spPr>
          <a:solidFill>
            <a:schemeClr val="accent1"/>
          </a:solidFill>
          <a:ln>
            <a:noFill/>
          </a:ln>
          <a:effectLst/>
        </c:spPr>
        <c:marker>
          <c:symbol val="none"/>
        </c:marker>
        <c:dLbl>
          <c:idx val="0"/>
          <c:showLegendKey val="0"/>
          <c:showVal val="1"/>
          <c:showCatName val="0"/>
          <c:showSerName val="0"/>
          <c:showPercent val="0"/>
          <c:showBubbleSize val="0"/>
          <c:extLst>
            <c:ext xmlns:c15="http://schemas.microsoft.com/office/drawing/2012/chart" uri="{CE6537A1-D6FC-4f65-9D91-7224C49458BB}"/>
          </c:extLst>
        </c:dLbl>
      </c:pivotFmt>
      <c:pivotFmt>
        <c:idx val="35"/>
        <c:spPr>
          <a:solidFill>
            <a:schemeClr val="accent1"/>
          </a:solidFill>
          <a:ln>
            <a:noFill/>
          </a:ln>
          <a:effectLst/>
        </c:spPr>
        <c:marker>
          <c:symbol val="none"/>
        </c:marker>
        <c:dLbl>
          <c:idx val="0"/>
          <c:showLegendKey val="0"/>
          <c:showVal val="1"/>
          <c:showCatName val="0"/>
          <c:showSerName val="0"/>
          <c:showPercent val="0"/>
          <c:showBubbleSize val="0"/>
          <c:extLst>
            <c:ext xmlns:c15="http://schemas.microsoft.com/office/drawing/2012/chart" uri="{CE6537A1-D6FC-4f65-9D91-7224C49458BB}"/>
          </c:extLst>
        </c:dLbl>
      </c:pivotFmt>
      <c:pivotFmt>
        <c:idx val="36"/>
        <c:spPr>
          <a:solidFill>
            <a:schemeClr val="accent1"/>
          </a:solidFill>
          <a:ln>
            <a:noFill/>
          </a:ln>
          <a:effectLst/>
        </c:spPr>
        <c:marker>
          <c:symbol val="none"/>
        </c:marker>
        <c:dLbl>
          <c:idx val="0"/>
          <c:showLegendKey val="0"/>
          <c:showVal val="1"/>
          <c:showCatName val="0"/>
          <c:showSerName val="0"/>
          <c:showPercent val="0"/>
          <c:showBubbleSize val="0"/>
          <c:extLst>
            <c:ext xmlns:c15="http://schemas.microsoft.com/office/drawing/2012/chart" uri="{CE6537A1-D6FC-4f65-9D91-7224C49458BB}"/>
          </c:extLst>
        </c:dLbl>
      </c:pivotFmt>
      <c:pivotFmt>
        <c:idx val="37"/>
        <c:spPr>
          <a:solidFill>
            <a:schemeClr val="accent1"/>
          </a:solidFill>
          <a:ln>
            <a:noFill/>
          </a:ln>
          <a:effectLst/>
        </c:spPr>
        <c:marker>
          <c:symbol val="none"/>
        </c:marker>
        <c:dLbl>
          <c:idx val="0"/>
          <c:showLegendKey val="0"/>
          <c:showVal val="1"/>
          <c:showCatName val="0"/>
          <c:showSerName val="0"/>
          <c:showPercent val="0"/>
          <c:showBubbleSize val="0"/>
          <c:extLst>
            <c:ext xmlns:c15="http://schemas.microsoft.com/office/drawing/2012/chart" uri="{CE6537A1-D6FC-4f65-9D91-7224C49458BB}"/>
          </c:extLst>
        </c:dLbl>
      </c:pivotFmt>
      <c:pivotFmt>
        <c:idx val="38"/>
        <c:spPr>
          <a:solidFill>
            <a:schemeClr val="accent1"/>
          </a:solidFill>
          <a:ln>
            <a:noFill/>
          </a:ln>
          <a:effectLst/>
        </c:spPr>
        <c:marker>
          <c:symbol val="none"/>
        </c:marker>
        <c:dLbl>
          <c:idx val="0"/>
          <c:showLegendKey val="0"/>
          <c:showVal val="1"/>
          <c:showCatName val="0"/>
          <c:showSerName val="0"/>
          <c:showPercent val="0"/>
          <c:showBubbleSize val="0"/>
          <c:extLst>
            <c:ext xmlns:c15="http://schemas.microsoft.com/office/drawing/2012/chart" uri="{CE6537A1-D6FC-4f65-9D91-7224C49458BB}"/>
          </c:extLst>
        </c:dLbl>
      </c:pivotFmt>
      <c:pivotFmt>
        <c:idx val="39"/>
        <c:spPr>
          <a:solidFill>
            <a:schemeClr val="accent1"/>
          </a:solidFill>
          <a:ln>
            <a:noFill/>
          </a:ln>
          <a:effectLst/>
        </c:spPr>
        <c:marker>
          <c:symbol val="none"/>
        </c:marker>
        <c:dLbl>
          <c:idx val="0"/>
          <c:showLegendKey val="0"/>
          <c:showVal val="1"/>
          <c:showCatName val="0"/>
          <c:showSerName val="0"/>
          <c:showPercent val="0"/>
          <c:showBubbleSize val="0"/>
          <c:extLst>
            <c:ext xmlns:c15="http://schemas.microsoft.com/office/drawing/2012/chart" uri="{CE6537A1-D6FC-4f65-9D91-7224C49458BB}"/>
          </c:extLst>
        </c:dLbl>
      </c:pivotFmt>
      <c:pivotFmt>
        <c:idx val="40"/>
        <c:spPr>
          <a:solidFill>
            <a:schemeClr val="accent1"/>
          </a:solidFill>
          <a:ln>
            <a:noFill/>
          </a:ln>
          <a:effectLst/>
        </c:spPr>
        <c:marker>
          <c:symbol val="none"/>
        </c:marker>
        <c:dLbl>
          <c:idx val="0"/>
          <c:showLegendKey val="0"/>
          <c:showVal val="1"/>
          <c:showCatName val="0"/>
          <c:showSerName val="0"/>
          <c:showPercent val="0"/>
          <c:showBubbleSize val="0"/>
          <c:extLst>
            <c:ext xmlns:c15="http://schemas.microsoft.com/office/drawing/2012/chart" uri="{CE6537A1-D6FC-4f65-9D91-7224C49458BB}"/>
          </c:extLst>
        </c:dLbl>
      </c:pivotFmt>
      <c:pivotFmt>
        <c:idx val="41"/>
        <c:spPr>
          <a:solidFill>
            <a:schemeClr val="accent1"/>
          </a:solidFill>
          <a:ln>
            <a:noFill/>
          </a:ln>
          <a:effectLst/>
        </c:spPr>
        <c:marker>
          <c:symbol val="none"/>
        </c:marker>
        <c:dLbl>
          <c:idx val="0"/>
          <c:showLegendKey val="0"/>
          <c:showVal val="1"/>
          <c:showCatName val="0"/>
          <c:showSerName val="0"/>
          <c:showPercent val="0"/>
          <c:showBubbleSize val="0"/>
          <c:extLst>
            <c:ext xmlns:c15="http://schemas.microsoft.com/office/drawing/2012/chart" uri="{CE6537A1-D6FC-4f65-9D91-7224C49458BB}"/>
          </c:extLst>
        </c:dLbl>
      </c:pivotFmt>
      <c:pivotFmt>
        <c:idx val="42"/>
        <c:spPr>
          <a:solidFill>
            <a:schemeClr val="accent1"/>
          </a:solidFill>
          <a:ln>
            <a:noFill/>
          </a:ln>
          <a:effectLst/>
        </c:spPr>
        <c:marker>
          <c:symbol val="none"/>
        </c:marker>
        <c:dLbl>
          <c:idx val="0"/>
          <c:showLegendKey val="0"/>
          <c:showVal val="1"/>
          <c:showCatName val="0"/>
          <c:showSerName val="0"/>
          <c:showPercent val="0"/>
          <c:showBubbleSize val="0"/>
          <c:extLst>
            <c:ext xmlns:c15="http://schemas.microsoft.com/office/drawing/2012/chart" uri="{CE6537A1-D6FC-4f65-9D91-7224C49458BB}"/>
          </c:extLst>
        </c:dLbl>
      </c:pivotFmt>
      <c:pivotFmt>
        <c:idx val="43"/>
        <c:spPr>
          <a:solidFill>
            <a:schemeClr val="accent1"/>
          </a:solidFill>
          <a:ln>
            <a:noFill/>
          </a:ln>
          <a:effectLst/>
        </c:spPr>
        <c:marker>
          <c:symbol val="none"/>
        </c:marker>
        <c:dLbl>
          <c:idx val="0"/>
          <c:showLegendKey val="0"/>
          <c:showVal val="1"/>
          <c:showCatName val="0"/>
          <c:showSerName val="0"/>
          <c:showPercent val="0"/>
          <c:showBubbleSize val="0"/>
          <c:extLst>
            <c:ext xmlns:c15="http://schemas.microsoft.com/office/drawing/2012/chart" uri="{CE6537A1-D6FC-4f65-9D91-7224C49458BB}"/>
          </c:extLst>
        </c:dLbl>
      </c:pivotFmt>
      <c:pivotFmt>
        <c:idx val="44"/>
        <c:spPr>
          <a:solidFill>
            <a:schemeClr val="accent1"/>
          </a:solidFill>
          <a:ln>
            <a:noFill/>
          </a:ln>
          <a:effectLst/>
        </c:spPr>
        <c:marker>
          <c:symbol val="none"/>
        </c:marker>
        <c:dLbl>
          <c:idx val="0"/>
          <c:showLegendKey val="0"/>
          <c:showVal val="1"/>
          <c:showCatName val="0"/>
          <c:showSerName val="0"/>
          <c:showPercent val="0"/>
          <c:showBubbleSize val="0"/>
          <c:extLst>
            <c:ext xmlns:c15="http://schemas.microsoft.com/office/drawing/2012/chart" uri="{CE6537A1-D6FC-4f65-9D91-7224C49458BB}"/>
          </c:extLst>
        </c:dLbl>
      </c:pivotFmt>
      <c:pivotFmt>
        <c:idx val="45"/>
        <c:spPr>
          <a:solidFill>
            <a:schemeClr val="accent1"/>
          </a:solidFill>
          <a:ln>
            <a:noFill/>
          </a:ln>
          <a:effectLst/>
        </c:spPr>
        <c:marker>
          <c:symbol val="none"/>
        </c:marker>
        <c:dLbl>
          <c:idx val="0"/>
          <c:showLegendKey val="0"/>
          <c:showVal val="1"/>
          <c:showCatName val="0"/>
          <c:showSerName val="0"/>
          <c:showPercent val="0"/>
          <c:showBubbleSize val="0"/>
          <c:extLst>
            <c:ext xmlns:c15="http://schemas.microsoft.com/office/drawing/2012/chart" uri="{CE6537A1-D6FC-4f65-9D91-7224C49458BB}"/>
          </c:extLst>
        </c:dLbl>
      </c:pivotFmt>
      <c:pivotFmt>
        <c:idx val="46"/>
        <c:spPr>
          <a:solidFill>
            <a:schemeClr val="accent1"/>
          </a:solidFill>
          <a:ln>
            <a:noFill/>
          </a:ln>
          <a:effectLst/>
        </c:spPr>
        <c:marker>
          <c:symbol val="none"/>
        </c:marker>
        <c:dLbl>
          <c:idx val="0"/>
          <c:showLegendKey val="0"/>
          <c:showVal val="1"/>
          <c:showCatName val="0"/>
          <c:showSerName val="0"/>
          <c:showPercent val="0"/>
          <c:showBubbleSize val="0"/>
          <c:extLst>
            <c:ext xmlns:c15="http://schemas.microsoft.com/office/drawing/2012/chart" uri="{CE6537A1-D6FC-4f65-9D91-7224C49458BB}"/>
          </c:extLst>
        </c:dLbl>
      </c:pivotFmt>
      <c:pivotFmt>
        <c:idx val="47"/>
        <c:spPr>
          <a:solidFill>
            <a:schemeClr val="accent1"/>
          </a:solidFill>
          <a:ln>
            <a:noFill/>
          </a:ln>
          <a:effectLst/>
        </c:spPr>
        <c:marker>
          <c:symbol val="none"/>
        </c:marker>
        <c:dLbl>
          <c:idx val="0"/>
          <c:showLegendKey val="0"/>
          <c:showVal val="1"/>
          <c:showCatName val="0"/>
          <c:showSerName val="0"/>
          <c:showPercent val="0"/>
          <c:showBubbleSize val="0"/>
          <c:extLst>
            <c:ext xmlns:c15="http://schemas.microsoft.com/office/drawing/2012/chart" uri="{CE6537A1-D6FC-4f65-9D91-7224C49458BB}"/>
          </c:extLst>
        </c:dLbl>
      </c:pivotFmt>
      <c:pivotFmt>
        <c:idx val="48"/>
        <c:spPr>
          <a:solidFill>
            <a:schemeClr val="accent1"/>
          </a:solidFill>
          <a:ln>
            <a:noFill/>
          </a:ln>
          <a:effectLst/>
        </c:spPr>
        <c:marker>
          <c:symbol val="none"/>
        </c:marker>
        <c:dLbl>
          <c:idx val="0"/>
          <c:showLegendKey val="0"/>
          <c:showVal val="1"/>
          <c:showCatName val="0"/>
          <c:showSerName val="0"/>
          <c:showPercent val="0"/>
          <c:showBubbleSize val="0"/>
          <c:extLst>
            <c:ext xmlns:c15="http://schemas.microsoft.com/office/drawing/2012/chart" uri="{CE6537A1-D6FC-4f65-9D91-7224C49458BB}"/>
          </c:extLst>
        </c:dLbl>
      </c:pivotFmt>
      <c:pivotFmt>
        <c:idx val="49"/>
        <c:spPr>
          <a:solidFill>
            <a:schemeClr val="accent1"/>
          </a:solidFill>
          <a:ln>
            <a:noFill/>
          </a:ln>
          <a:effectLst/>
        </c:spPr>
        <c:marker>
          <c:symbol val="none"/>
        </c:marker>
        <c:dLbl>
          <c:idx val="0"/>
          <c:showLegendKey val="0"/>
          <c:showVal val="1"/>
          <c:showCatName val="0"/>
          <c:showSerName val="0"/>
          <c:showPercent val="0"/>
          <c:showBubbleSize val="0"/>
          <c:extLst>
            <c:ext xmlns:c15="http://schemas.microsoft.com/office/drawing/2012/chart" uri="{CE6537A1-D6FC-4f65-9D91-7224C49458BB}"/>
          </c:extLst>
        </c:dLbl>
      </c:pivotFmt>
      <c:pivotFmt>
        <c:idx val="50"/>
        <c:spPr>
          <a:solidFill>
            <a:schemeClr val="accent1"/>
          </a:solidFill>
          <a:ln>
            <a:noFill/>
          </a:ln>
          <a:effectLst/>
        </c:spPr>
        <c:marker>
          <c:symbol val="none"/>
        </c:marker>
        <c:dLbl>
          <c:idx val="0"/>
          <c:showLegendKey val="0"/>
          <c:showVal val="1"/>
          <c:showCatName val="0"/>
          <c:showSerName val="0"/>
          <c:showPercent val="0"/>
          <c:showBubbleSize val="0"/>
          <c:extLst>
            <c:ext xmlns:c15="http://schemas.microsoft.com/office/drawing/2012/chart" uri="{CE6537A1-D6FC-4f65-9D91-7224C49458BB}"/>
          </c:extLst>
        </c:dLbl>
      </c:pivotFmt>
      <c:pivotFmt>
        <c:idx val="51"/>
        <c:spPr>
          <a:solidFill>
            <a:schemeClr val="accent1"/>
          </a:solidFill>
          <a:ln>
            <a:noFill/>
          </a:ln>
          <a:effectLst/>
        </c:spPr>
        <c:marker>
          <c:symbol val="none"/>
        </c:marker>
        <c:dLbl>
          <c:idx val="0"/>
          <c:showLegendKey val="0"/>
          <c:showVal val="1"/>
          <c:showCatName val="0"/>
          <c:showSerName val="0"/>
          <c:showPercent val="0"/>
          <c:showBubbleSize val="0"/>
          <c:extLst>
            <c:ext xmlns:c15="http://schemas.microsoft.com/office/drawing/2012/chart" uri="{CE6537A1-D6FC-4f65-9D91-7224C49458BB}"/>
          </c:extLst>
        </c:dLbl>
      </c:pivotFmt>
      <c:pivotFmt>
        <c:idx val="52"/>
        <c:spPr>
          <a:solidFill>
            <a:schemeClr val="accent1"/>
          </a:solidFill>
          <a:ln>
            <a:noFill/>
          </a:ln>
          <a:effectLst/>
        </c:spPr>
        <c:marker>
          <c:symbol val="none"/>
        </c:marker>
        <c:dLbl>
          <c:idx val="0"/>
          <c:showLegendKey val="0"/>
          <c:showVal val="1"/>
          <c:showCatName val="0"/>
          <c:showSerName val="0"/>
          <c:showPercent val="0"/>
          <c:showBubbleSize val="0"/>
          <c:extLst>
            <c:ext xmlns:c15="http://schemas.microsoft.com/office/drawing/2012/chart" uri="{CE6537A1-D6FC-4f65-9D91-7224C49458BB}"/>
          </c:extLst>
        </c:dLbl>
      </c:pivotFmt>
      <c:pivotFmt>
        <c:idx val="53"/>
        <c:spPr>
          <a:solidFill>
            <a:schemeClr val="accent1"/>
          </a:solidFill>
          <a:ln>
            <a:noFill/>
          </a:ln>
          <a:effectLst/>
        </c:spPr>
        <c:marker>
          <c:symbol val="none"/>
        </c:marker>
        <c:dLbl>
          <c:idx val="0"/>
          <c:showLegendKey val="0"/>
          <c:showVal val="1"/>
          <c:showCatName val="0"/>
          <c:showSerName val="0"/>
          <c:showPercent val="0"/>
          <c:showBubbleSize val="0"/>
          <c:extLst>
            <c:ext xmlns:c15="http://schemas.microsoft.com/office/drawing/2012/chart" uri="{CE6537A1-D6FC-4f65-9D91-7224C49458BB}"/>
          </c:extLst>
        </c:dLbl>
      </c:pivotFmt>
      <c:pivotFmt>
        <c:idx val="54"/>
        <c:spPr>
          <a:solidFill>
            <a:schemeClr val="accent1"/>
          </a:solidFill>
          <a:ln>
            <a:noFill/>
          </a:ln>
          <a:effectLst/>
        </c:spPr>
        <c:marker>
          <c:symbol val="none"/>
        </c:marker>
        <c:dLbl>
          <c:idx val="0"/>
          <c:showLegendKey val="0"/>
          <c:showVal val="1"/>
          <c:showCatName val="0"/>
          <c:showSerName val="0"/>
          <c:showPercent val="0"/>
          <c:showBubbleSize val="0"/>
          <c:extLst>
            <c:ext xmlns:c15="http://schemas.microsoft.com/office/drawing/2012/chart" uri="{CE6537A1-D6FC-4f65-9D91-7224C49458BB}"/>
          </c:extLst>
        </c:dLbl>
      </c:pivotFmt>
      <c:pivotFmt>
        <c:idx val="55"/>
        <c:spPr>
          <a:solidFill>
            <a:schemeClr val="accent1"/>
          </a:solidFill>
          <a:ln>
            <a:noFill/>
          </a:ln>
          <a:effectLst/>
        </c:spPr>
        <c:marker>
          <c:symbol val="none"/>
        </c:marker>
        <c:dLbl>
          <c:idx val="0"/>
          <c:showLegendKey val="0"/>
          <c:showVal val="1"/>
          <c:showCatName val="0"/>
          <c:showSerName val="0"/>
          <c:showPercent val="0"/>
          <c:showBubbleSize val="0"/>
          <c:extLst>
            <c:ext xmlns:c15="http://schemas.microsoft.com/office/drawing/2012/chart" uri="{CE6537A1-D6FC-4f65-9D91-7224C49458BB}"/>
          </c:extLst>
        </c:dLbl>
      </c:pivotFmt>
      <c:pivotFmt>
        <c:idx val="56"/>
        <c:spPr>
          <a:solidFill>
            <a:schemeClr val="accent1"/>
          </a:solidFill>
          <a:ln>
            <a:noFill/>
          </a:ln>
          <a:effectLst/>
        </c:spPr>
        <c:marker>
          <c:symbol val="none"/>
        </c:marker>
        <c:dLbl>
          <c:idx val="0"/>
          <c:showLegendKey val="0"/>
          <c:showVal val="1"/>
          <c:showCatName val="0"/>
          <c:showSerName val="0"/>
          <c:showPercent val="0"/>
          <c:showBubbleSize val="0"/>
          <c:extLst>
            <c:ext xmlns:c15="http://schemas.microsoft.com/office/drawing/2012/chart" uri="{CE6537A1-D6FC-4f65-9D91-7224C49458BB}"/>
          </c:extLst>
        </c:dLbl>
      </c:pivotFmt>
      <c:pivotFmt>
        <c:idx val="57"/>
        <c:spPr>
          <a:solidFill>
            <a:schemeClr val="accent1"/>
          </a:solidFill>
          <a:ln>
            <a:noFill/>
          </a:ln>
          <a:effectLst/>
        </c:spPr>
        <c:marker>
          <c:symbol val="none"/>
        </c:marker>
        <c:dLbl>
          <c:idx val="0"/>
          <c:showLegendKey val="0"/>
          <c:showVal val="1"/>
          <c:showCatName val="0"/>
          <c:showSerName val="0"/>
          <c:showPercent val="0"/>
          <c:showBubbleSize val="0"/>
          <c:extLst>
            <c:ext xmlns:c15="http://schemas.microsoft.com/office/drawing/2012/chart" uri="{CE6537A1-D6FC-4f65-9D91-7224C49458BB}"/>
          </c:extLst>
        </c:dLbl>
      </c:pivotFmt>
      <c:pivotFmt>
        <c:idx val="58"/>
        <c:spPr>
          <a:solidFill>
            <a:schemeClr val="accent1"/>
          </a:solidFill>
          <a:ln>
            <a:noFill/>
          </a:ln>
          <a:effectLst/>
        </c:spPr>
        <c:marker>
          <c:symbol val="none"/>
        </c:marker>
        <c:dLbl>
          <c:idx val="0"/>
          <c:showLegendKey val="0"/>
          <c:showVal val="1"/>
          <c:showCatName val="0"/>
          <c:showSerName val="0"/>
          <c:showPercent val="0"/>
          <c:showBubbleSize val="0"/>
          <c:extLst>
            <c:ext xmlns:c15="http://schemas.microsoft.com/office/drawing/2012/chart" uri="{CE6537A1-D6FC-4f65-9D91-7224C49458BB}"/>
          </c:extLst>
        </c:dLbl>
      </c:pivotFmt>
      <c:pivotFmt>
        <c:idx val="59"/>
        <c:spPr>
          <a:solidFill>
            <a:schemeClr val="accent1"/>
          </a:solidFill>
          <a:ln>
            <a:noFill/>
          </a:ln>
          <a:effectLst/>
        </c:spPr>
        <c:marker>
          <c:symbol val="none"/>
        </c:marker>
        <c:dLbl>
          <c:idx val="0"/>
          <c:showLegendKey val="0"/>
          <c:showVal val="1"/>
          <c:showCatName val="0"/>
          <c:showSerName val="0"/>
          <c:showPercent val="0"/>
          <c:showBubbleSize val="0"/>
          <c:extLst>
            <c:ext xmlns:c15="http://schemas.microsoft.com/office/drawing/2012/chart" uri="{CE6537A1-D6FC-4f65-9D91-7224C49458BB}"/>
          </c:extLst>
        </c:dLbl>
      </c:pivotFmt>
      <c:pivotFmt>
        <c:idx val="60"/>
        <c:spPr>
          <a:solidFill>
            <a:schemeClr val="accent1"/>
          </a:solidFill>
          <a:ln>
            <a:noFill/>
          </a:ln>
          <a:effectLst/>
        </c:spPr>
        <c:marker>
          <c:symbol val="none"/>
        </c:marker>
        <c:dLbl>
          <c:idx val="0"/>
          <c:showLegendKey val="0"/>
          <c:showVal val="1"/>
          <c:showCatName val="0"/>
          <c:showSerName val="0"/>
          <c:showPercent val="0"/>
          <c:showBubbleSize val="0"/>
          <c:extLst>
            <c:ext xmlns:c15="http://schemas.microsoft.com/office/drawing/2012/chart" uri="{CE6537A1-D6FC-4f65-9D91-7224C49458BB}"/>
          </c:extLst>
        </c:dLbl>
      </c:pivotFmt>
      <c:pivotFmt>
        <c:idx val="61"/>
        <c:spPr>
          <a:solidFill>
            <a:schemeClr val="accent1"/>
          </a:solidFill>
          <a:ln>
            <a:noFill/>
          </a:ln>
          <a:effectLst/>
        </c:spPr>
        <c:marker>
          <c:symbol val="none"/>
        </c:marker>
        <c:dLbl>
          <c:idx val="0"/>
          <c:showLegendKey val="0"/>
          <c:showVal val="1"/>
          <c:showCatName val="0"/>
          <c:showSerName val="0"/>
          <c:showPercent val="0"/>
          <c:showBubbleSize val="0"/>
          <c:extLst>
            <c:ext xmlns:c15="http://schemas.microsoft.com/office/drawing/2012/chart" uri="{CE6537A1-D6FC-4f65-9D91-7224C49458BB}"/>
          </c:extLst>
        </c:dLbl>
      </c:pivotFmt>
      <c:pivotFmt>
        <c:idx val="62"/>
        <c:spPr>
          <a:solidFill>
            <a:schemeClr val="accent1"/>
          </a:solidFill>
          <a:ln>
            <a:noFill/>
          </a:ln>
          <a:effectLst/>
        </c:spPr>
        <c:marker>
          <c:symbol val="none"/>
        </c:marker>
        <c:dLbl>
          <c:idx val="0"/>
          <c:showLegendKey val="0"/>
          <c:showVal val="1"/>
          <c:showCatName val="0"/>
          <c:showSerName val="0"/>
          <c:showPercent val="0"/>
          <c:showBubbleSize val="0"/>
          <c:extLst>
            <c:ext xmlns:c15="http://schemas.microsoft.com/office/drawing/2012/chart" uri="{CE6537A1-D6FC-4f65-9D91-7224C49458BB}"/>
          </c:extLst>
        </c:dLbl>
      </c:pivotFmt>
      <c:pivotFmt>
        <c:idx val="63"/>
        <c:spPr>
          <a:solidFill>
            <a:schemeClr val="accent1"/>
          </a:solidFill>
          <a:ln>
            <a:noFill/>
          </a:ln>
          <a:effectLst/>
        </c:spPr>
        <c:marker>
          <c:symbol val="none"/>
        </c:marker>
        <c:dLbl>
          <c:idx val="0"/>
          <c:showLegendKey val="0"/>
          <c:showVal val="1"/>
          <c:showCatName val="0"/>
          <c:showSerName val="0"/>
          <c:showPercent val="0"/>
          <c:showBubbleSize val="0"/>
          <c:extLst>
            <c:ext xmlns:c15="http://schemas.microsoft.com/office/drawing/2012/chart" uri="{CE6537A1-D6FC-4f65-9D91-7224C49458BB}"/>
          </c:extLst>
        </c:dLbl>
      </c:pivotFmt>
      <c:pivotFmt>
        <c:idx val="64"/>
        <c:spPr>
          <a:solidFill>
            <a:schemeClr val="accent1"/>
          </a:solidFill>
          <a:ln>
            <a:noFill/>
          </a:ln>
          <a:effectLst/>
        </c:spPr>
        <c:marker>
          <c:symbol val="none"/>
        </c:marker>
        <c:dLbl>
          <c:idx val="0"/>
          <c:showLegendKey val="0"/>
          <c:showVal val="1"/>
          <c:showCatName val="0"/>
          <c:showSerName val="0"/>
          <c:showPercent val="0"/>
          <c:showBubbleSize val="0"/>
          <c:extLst>
            <c:ext xmlns:c15="http://schemas.microsoft.com/office/drawing/2012/chart" uri="{CE6537A1-D6FC-4f65-9D91-7224C49458BB}"/>
          </c:extLst>
        </c:dLbl>
      </c:pivotFmt>
      <c:pivotFmt>
        <c:idx val="65"/>
        <c:spPr>
          <a:solidFill>
            <a:schemeClr val="accent1"/>
          </a:solidFill>
          <a:ln>
            <a:noFill/>
          </a:ln>
          <a:effectLst/>
        </c:spPr>
        <c:marker>
          <c:symbol val="none"/>
        </c:marker>
        <c:dLbl>
          <c:idx val="0"/>
          <c:showLegendKey val="0"/>
          <c:showVal val="1"/>
          <c:showCatName val="0"/>
          <c:showSerName val="0"/>
          <c:showPercent val="0"/>
          <c:showBubbleSize val="0"/>
          <c:extLst>
            <c:ext xmlns:c15="http://schemas.microsoft.com/office/drawing/2012/chart" uri="{CE6537A1-D6FC-4f65-9D91-7224C49458BB}"/>
          </c:extLst>
        </c:dLbl>
      </c:pivotFmt>
      <c:pivotFmt>
        <c:idx val="66"/>
        <c:spPr>
          <a:solidFill>
            <a:schemeClr val="accent1"/>
          </a:solidFill>
          <a:ln>
            <a:noFill/>
          </a:ln>
          <a:effectLst/>
        </c:spPr>
        <c:marker>
          <c:symbol val="none"/>
        </c:marker>
        <c:dLbl>
          <c:idx val="0"/>
          <c:showLegendKey val="0"/>
          <c:showVal val="1"/>
          <c:showCatName val="0"/>
          <c:showSerName val="0"/>
          <c:showPercent val="0"/>
          <c:showBubbleSize val="0"/>
          <c:extLst>
            <c:ext xmlns:c15="http://schemas.microsoft.com/office/drawing/2012/chart" uri="{CE6537A1-D6FC-4f65-9D91-7224C49458BB}"/>
          </c:extLst>
        </c:dLbl>
      </c:pivotFmt>
      <c:pivotFmt>
        <c:idx val="67"/>
        <c:spPr>
          <a:solidFill>
            <a:schemeClr val="accent1"/>
          </a:solidFill>
          <a:ln>
            <a:noFill/>
          </a:ln>
          <a:effectLst/>
        </c:spPr>
        <c:marker>
          <c:symbol val="none"/>
        </c:marker>
        <c:dLbl>
          <c:idx val="0"/>
          <c:showLegendKey val="0"/>
          <c:showVal val="1"/>
          <c:showCatName val="0"/>
          <c:showSerName val="0"/>
          <c:showPercent val="0"/>
          <c:showBubbleSize val="0"/>
          <c:extLst>
            <c:ext xmlns:c15="http://schemas.microsoft.com/office/drawing/2012/chart" uri="{CE6537A1-D6FC-4f65-9D91-7224C49458BB}"/>
          </c:extLst>
        </c:dLbl>
      </c:pivotFmt>
      <c:pivotFmt>
        <c:idx val="68"/>
        <c:spPr>
          <a:solidFill>
            <a:schemeClr val="accent1"/>
          </a:solidFill>
          <a:ln>
            <a:noFill/>
          </a:ln>
          <a:effectLst/>
        </c:spPr>
        <c:marker>
          <c:symbol val="none"/>
        </c:marker>
        <c:dLbl>
          <c:idx val="0"/>
          <c:showLegendKey val="0"/>
          <c:showVal val="1"/>
          <c:showCatName val="0"/>
          <c:showSerName val="0"/>
          <c:showPercent val="0"/>
          <c:showBubbleSize val="0"/>
          <c:extLst>
            <c:ext xmlns:c15="http://schemas.microsoft.com/office/drawing/2012/chart" uri="{CE6537A1-D6FC-4f65-9D91-7224C49458BB}"/>
          </c:extLst>
        </c:dLbl>
      </c:pivotFmt>
      <c:pivotFmt>
        <c:idx val="69"/>
        <c:spPr>
          <a:solidFill>
            <a:schemeClr val="accent1"/>
          </a:solidFill>
          <a:ln>
            <a:noFill/>
          </a:ln>
          <a:effectLst/>
        </c:spPr>
        <c:marker>
          <c:symbol val="none"/>
        </c:marker>
        <c:dLbl>
          <c:idx val="0"/>
          <c:showLegendKey val="0"/>
          <c:showVal val="1"/>
          <c:showCatName val="0"/>
          <c:showSerName val="0"/>
          <c:showPercent val="0"/>
          <c:showBubbleSize val="0"/>
          <c:extLst>
            <c:ext xmlns:c15="http://schemas.microsoft.com/office/drawing/2012/chart" uri="{CE6537A1-D6FC-4f65-9D91-7224C49458BB}"/>
          </c:extLst>
        </c:dLbl>
      </c:pivotFmt>
      <c:pivotFmt>
        <c:idx val="70"/>
        <c:spPr>
          <a:solidFill>
            <a:schemeClr val="accent1"/>
          </a:solidFill>
          <a:ln>
            <a:noFill/>
          </a:ln>
          <a:effectLst/>
        </c:spPr>
        <c:marker>
          <c:symbol val="none"/>
        </c:marker>
        <c:dLbl>
          <c:idx val="0"/>
          <c:showLegendKey val="0"/>
          <c:showVal val="1"/>
          <c:showCatName val="0"/>
          <c:showSerName val="0"/>
          <c:showPercent val="0"/>
          <c:showBubbleSize val="0"/>
          <c:extLst>
            <c:ext xmlns:c15="http://schemas.microsoft.com/office/drawing/2012/chart" uri="{CE6537A1-D6FC-4f65-9D91-7224C49458BB}"/>
          </c:extLst>
        </c:dLbl>
      </c:pivotFmt>
      <c:pivotFmt>
        <c:idx val="71"/>
        <c:spPr>
          <a:solidFill>
            <a:schemeClr val="accent1"/>
          </a:solidFill>
          <a:ln>
            <a:noFill/>
          </a:ln>
          <a:effectLst/>
        </c:spPr>
        <c:marker>
          <c:symbol val="none"/>
        </c:marker>
        <c:dLbl>
          <c:idx val="0"/>
          <c:showLegendKey val="0"/>
          <c:showVal val="1"/>
          <c:showCatName val="0"/>
          <c:showSerName val="0"/>
          <c:showPercent val="0"/>
          <c:showBubbleSize val="0"/>
          <c:extLst>
            <c:ext xmlns:c15="http://schemas.microsoft.com/office/drawing/2012/chart" uri="{CE6537A1-D6FC-4f65-9D91-7224C49458BB}"/>
          </c:extLst>
        </c:dLbl>
      </c:pivotFmt>
      <c:pivotFmt>
        <c:idx val="72"/>
        <c:spPr>
          <a:solidFill>
            <a:schemeClr val="accent1"/>
          </a:solidFill>
          <a:ln>
            <a:noFill/>
          </a:ln>
          <a:effectLst/>
        </c:spPr>
        <c:marker>
          <c:symbol val="none"/>
        </c:marker>
        <c:dLbl>
          <c:idx val="0"/>
          <c:showLegendKey val="0"/>
          <c:showVal val="1"/>
          <c:showCatName val="0"/>
          <c:showSerName val="0"/>
          <c:showPercent val="0"/>
          <c:showBubbleSize val="0"/>
          <c:extLst>
            <c:ext xmlns:c15="http://schemas.microsoft.com/office/drawing/2012/chart" uri="{CE6537A1-D6FC-4f65-9D91-7224C49458BB}"/>
          </c:extLst>
        </c:dLbl>
      </c:pivotFmt>
      <c:pivotFmt>
        <c:idx val="73"/>
        <c:spPr>
          <a:solidFill>
            <a:schemeClr val="accent1"/>
          </a:solidFill>
          <a:ln>
            <a:noFill/>
          </a:ln>
          <a:effectLst/>
        </c:spPr>
        <c:marker>
          <c:symbol val="none"/>
        </c:marker>
        <c:dLbl>
          <c:idx val="0"/>
          <c:showLegendKey val="0"/>
          <c:showVal val="1"/>
          <c:showCatName val="0"/>
          <c:showSerName val="0"/>
          <c:showPercent val="0"/>
          <c:showBubbleSize val="0"/>
          <c:extLst>
            <c:ext xmlns:c15="http://schemas.microsoft.com/office/drawing/2012/chart" uri="{CE6537A1-D6FC-4f65-9D91-7224C49458BB}"/>
          </c:extLst>
        </c:dLbl>
      </c:pivotFmt>
      <c:pivotFmt>
        <c:idx val="74"/>
        <c:spPr>
          <a:solidFill>
            <a:schemeClr val="accent1"/>
          </a:solidFill>
          <a:ln>
            <a:noFill/>
          </a:ln>
          <a:effectLst/>
        </c:spPr>
        <c:marker>
          <c:symbol val="none"/>
        </c:marker>
        <c:dLbl>
          <c:idx val="0"/>
          <c:showLegendKey val="0"/>
          <c:showVal val="1"/>
          <c:showCatName val="0"/>
          <c:showSerName val="0"/>
          <c:showPercent val="0"/>
          <c:showBubbleSize val="0"/>
          <c:extLst>
            <c:ext xmlns:c15="http://schemas.microsoft.com/office/drawing/2012/chart" uri="{CE6537A1-D6FC-4f65-9D91-7224C49458BB}"/>
          </c:extLst>
        </c:dLbl>
      </c:pivotFmt>
      <c:pivotFmt>
        <c:idx val="75"/>
        <c:spPr>
          <a:solidFill>
            <a:schemeClr val="accent1"/>
          </a:solidFill>
          <a:ln>
            <a:noFill/>
          </a:ln>
          <a:effectLst/>
        </c:spPr>
        <c:marker>
          <c:symbol val="none"/>
        </c:marker>
        <c:dLbl>
          <c:idx val="0"/>
          <c:showLegendKey val="0"/>
          <c:showVal val="1"/>
          <c:showCatName val="0"/>
          <c:showSerName val="0"/>
          <c:showPercent val="0"/>
          <c:showBubbleSize val="0"/>
          <c:extLst>
            <c:ext xmlns:c15="http://schemas.microsoft.com/office/drawing/2012/chart" uri="{CE6537A1-D6FC-4f65-9D91-7224C49458BB}"/>
          </c:extLst>
        </c:dLbl>
      </c:pivotFmt>
      <c:pivotFmt>
        <c:idx val="76"/>
        <c:spPr>
          <a:solidFill>
            <a:schemeClr val="accent1"/>
          </a:solidFill>
          <a:ln>
            <a:noFill/>
          </a:ln>
          <a:effectLst/>
        </c:spPr>
        <c:marker>
          <c:symbol val="none"/>
        </c:marker>
        <c:dLbl>
          <c:idx val="0"/>
          <c:showLegendKey val="0"/>
          <c:showVal val="1"/>
          <c:showCatName val="0"/>
          <c:showSerName val="0"/>
          <c:showPercent val="0"/>
          <c:showBubbleSize val="0"/>
          <c:extLst>
            <c:ext xmlns:c15="http://schemas.microsoft.com/office/drawing/2012/chart" uri="{CE6537A1-D6FC-4f65-9D91-7224C49458BB}"/>
          </c:extLst>
        </c:dLbl>
      </c:pivotFmt>
      <c:pivotFmt>
        <c:idx val="77"/>
        <c:spPr>
          <a:solidFill>
            <a:schemeClr val="accent1"/>
          </a:solidFill>
          <a:ln>
            <a:noFill/>
          </a:ln>
          <a:effectLst/>
        </c:spPr>
        <c:marker>
          <c:symbol val="none"/>
        </c:marker>
        <c:dLbl>
          <c:idx val="0"/>
          <c:showLegendKey val="0"/>
          <c:showVal val="1"/>
          <c:showCatName val="0"/>
          <c:showSerName val="0"/>
          <c:showPercent val="0"/>
          <c:showBubbleSize val="0"/>
          <c:extLst>
            <c:ext xmlns:c15="http://schemas.microsoft.com/office/drawing/2012/chart" uri="{CE6537A1-D6FC-4f65-9D91-7224C49458BB}"/>
          </c:extLst>
        </c:dLbl>
      </c:pivotFmt>
      <c:pivotFmt>
        <c:idx val="78"/>
        <c:spPr>
          <a:solidFill>
            <a:schemeClr val="accent1"/>
          </a:solidFill>
          <a:ln>
            <a:noFill/>
          </a:ln>
          <a:effectLst/>
        </c:spPr>
        <c:marker>
          <c:symbol val="none"/>
        </c:marker>
        <c:dLbl>
          <c:idx val="0"/>
          <c:showLegendKey val="0"/>
          <c:showVal val="1"/>
          <c:showCatName val="0"/>
          <c:showSerName val="0"/>
          <c:showPercent val="0"/>
          <c:showBubbleSize val="0"/>
          <c:extLst>
            <c:ext xmlns:c15="http://schemas.microsoft.com/office/drawing/2012/chart" uri="{CE6537A1-D6FC-4f65-9D91-7224C49458BB}"/>
          </c:extLst>
        </c:dLbl>
      </c:pivotFmt>
      <c:pivotFmt>
        <c:idx val="79"/>
        <c:spPr>
          <a:solidFill>
            <a:schemeClr val="accent1"/>
          </a:solidFill>
          <a:ln>
            <a:noFill/>
          </a:ln>
          <a:effectLst/>
        </c:spPr>
        <c:marker>
          <c:symbol val="none"/>
        </c:marker>
        <c:dLbl>
          <c:idx val="0"/>
          <c:showLegendKey val="0"/>
          <c:showVal val="1"/>
          <c:showCatName val="0"/>
          <c:showSerName val="0"/>
          <c:showPercent val="0"/>
          <c:showBubbleSize val="0"/>
          <c:extLst>
            <c:ext xmlns:c15="http://schemas.microsoft.com/office/drawing/2012/chart" uri="{CE6537A1-D6FC-4f65-9D91-7224C49458BB}"/>
          </c:extLst>
        </c:dLbl>
      </c:pivotFmt>
      <c:pivotFmt>
        <c:idx val="80"/>
        <c:spPr>
          <a:solidFill>
            <a:schemeClr val="accent1"/>
          </a:solidFill>
          <a:ln>
            <a:noFill/>
          </a:ln>
          <a:effectLst/>
        </c:spPr>
        <c:marker>
          <c:symbol val="none"/>
        </c:marker>
        <c:dLbl>
          <c:idx val="0"/>
          <c:showLegendKey val="0"/>
          <c:showVal val="1"/>
          <c:showCatName val="0"/>
          <c:showSerName val="0"/>
          <c:showPercent val="0"/>
          <c:showBubbleSize val="0"/>
          <c:extLst>
            <c:ext xmlns:c15="http://schemas.microsoft.com/office/drawing/2012/chart" uri="{CE6537A1-D6FC-4f65-9D91-7224C49458BB}"/>
          </c:extLst>
        </c:dLbl>
      </c:pivotFmt>
      <c:pivotFmt>
        <c:idx val="81"/>
        <c:spPr>
          <a:solidFill>
            <a:schemeClr val="accent1"/>
          </a:solidFill>
          <a:ln>
            <a:noFill/>
          </a:ln>
          <a:effectLst/>
        </c:spPr>
        <c:marker>
          <c:symbol val="none"/>
        </c:marker>
        <c:dLbl>
          <c:idx val="0"/>
          <c:showLegendKey val="0"/>
          <c:showVal val="1"/>
          <c:showCatName val="0"/>
          <c:showSerName val="0"/>
          <c:showPercent val="0"/>
          <c:showBubbleSize val="0"/>
          <c:extLst>
            <c:ext xmlns:c15="http://schemas.microsoft.com/office/drawing/2012/chart" uri="{CE6537A1-D6FC-4f65-9D91-7224C49458BB}"/>
          </c:extLst>
        </c:dLbl>
      </c:pivotFmt>
      <c:pivotFmt>
        <c:idx val="82"/>
        <c:spPr>
          <a:solidFill>
            <a:schemeClr val="accent1"/>
          </a:solidFill>
          <a:ln>
            <a:noFill/>
          </a:ln>
          <a:effectLst/>
        </c:spPr>
        <c:marker>
          <c:symbol val="none"/>
        </c:marker>
        <c:dLbl>
          <c:idx val="0"/>
          <c:showLegendKey val="0"/>
          <c:showVal val="1"/>
          <c:showCatName val="0"/>
          <c:showSerName val="0"/>
          <c:showPercent val="0"/>
          <c:showBubbleSize val="0"/>
          <c:extLst>
            <c:ext xmlns:c15="http://schemas.microsoft.com/office/drawing/2012/chart" uri="{CE6537A1-D6FC-4f65-9D91-7224C49458BB}"/>
          </c:extLst>
        </c:dLbl>
      </c:pivotFmt>
      <c:pivotFmt>
        <c:idx val="83"/>
        <c:spPr>
          <a:solidFill>
            <a:schemeClr val="accent1"/>
          </a:solidFill>
          <a:ln>
            <a:noFill/>
          </a:ln>
          <a:effectLst/>
        </c:spPr>
        <c:marker>
          <c:symbol val="none"/>
        </c:marker>
        <c:dLbl>
          <c:idx val="0"/>
          <c:showLegendKey val="0"/>
          <c:showVal val="1"/>
          <c:showCatName val="0"/>
          <c:showSerName val="0"/>
          <c:showPercent val="0"/>
          <c:showBubbleSize val="0"/>
          <c:extLst>
            <c:ext xmlns:c15="http://schemas.microsoft.com/office/drawing/2012/chart" uri="{CE6537A1-D6FC-4f65-9D91-7224C49458BB}"/>
          </c:extLst>
        </c:dLbl>
      </c:pivotFmt>
      <c:pivotFmt>
        <c:idx val="84"/>
        <c:spPr>
          <a:solidFill>
            <a:schemeClr val="accent1"/>
          </a:solidFill>
          <a:ln>
            <a:noFill/>
          </a:ln>
          <a:effectLst/>
        </c:spPr>
        <c:marker>
          <c:symbol val="none"/>
        </c:marker>
        <c:dLbl>
          <c:idx val="0"/>
          <c:showLegendKey val="0"/>
          <c:showVal val="1"/>
          <c:showCatName val="0"/>
          <c:showSerName val="0"/>
          <c:showPercent val="0"/>
          <c:showBubbleSize val="0"/>
          <c:extLst>
            <c:ext xmlns:c15="http://schemas.microsoft.com/office/drawing/2012/chart" uri="{CE6537A1-D6FC-4f65-9D91-7224C49458BB}"/>
          </c:extLst>
        </c:dLbl>
      </c:pivotFmt>
      <c:pivotFmt>
        <c:idx val="85"/>
        <c:spPr>
          <a:solidFill>
            <a:schemeClr val="accent1"/>
          </a:solidFill>
          <a:ln>
            <a:noFill/>
          </a:ln>
          <a:effectLst/>
        </c:spPr>
        <c:marker>
          <c:symbol val="none"/>
        </c:marker>
        <c:dLbl>
          <c:idx val="0"/>
          <c:showLegendKey val="0"/>
          <c:showVal val="1"/>
          <c:showCatName val="0"/>
          <c:showSerName val="0"/>
          <c:showPercent val="0"/>
          <c:showBubbleSize val="0"/>
          <c:extLst>
            <c:ext xmlns:c15="http://schemas.microsoft.com/office/drawing/2012/chart" uri="{CE6537A1-D6FC-4f65-9D91-7224C49458BB}"/>
          </c:extLst>
        </c:dLbl>
      </c:pivotFmt>
      <c:pivotFmt>
        <c:idx val="86"/>
        <c:spPr>
          <a:solidFill>
            <a:schemeClr val="accent1"/>
          </a:solidFill>
          <a:ln>
            <a:noFill/>
          </a:ln>
          <a:effectLst/>
        </c:spPr>
        <c:marker>
          <c:symbol val="none"/>
        </c:marker>
        <c:dLbl>
          <c:idx val="0"/>
          <c:showLegendKey val="0"/>
          <c:showVal val="1"/>
          <c:showCatName val="0"/>
          <c:showSerName val="0"/>
          <c:showPercent val="0"/>
          <c:showBubbleSize val="0"/>
          <c:extLst>
            <c:ext xmlns:c15="http://schemas.microsoft.com/office/drawing/2012/chart" uri="{CE6537A1-D6FC-4f65-9D91-7224C49458BB}"/>
          </c:extLst>
        </c:dLbl>
      </c:pivotFmt>
      <c:pivotFmt>
        <c:idx val="87"/>
        <c:spPr>
          <a:solidFill>
            <a:schemeClr val="accent1"/>
          </a:solidFill>
          <a:ln>
            <a:noFill/>
          </a:ln>
          <a:effectLst/>
        </c:spPr>
        <c:marker>
          <c:symbol val="none"/>
        </c:marker>
        <c:dLbl>
          <c:idx val="0"/>
          <c:showLegendKey val="0"/>
          <c:showVal val="1"/>
          <c:showCatName val="0"/>
          <c:showSerName val="0"/>
          <c:showPercent val="0"/>
          <c:showBubbleSize val="0"/>
          <c:extLst>
            <c:ext xmlns:c15="http://schemas.microsoft.com/office/drawing/2012/chart" uri="{CE6537A1-D6FC-4f65-9D91-7224C49458BB}"/>
          </c:extLst>
        </c:dLbl>
      </c:pivotFmt>
      <c:pivotFmt>
        <c:idx val="88"/>
        <c:spPr>
          <a:solidFill>
            <a:schemeClr val="accent1"/>
          </a:solidFill>
          <a:ln>
            <a:noFill/>
          </a:ln>
          <a:effectLst/>
        </c:spPr>
        <c:marker>
          <c:symbol val="none"/>
        </c:marker>
        <c:dLbl>
          <c:idx val="0"/>
          <c:showLegendKey val="0"/>
          <c:showVal val="1"/>
          <c:showCatName val="0"/>
          <c:showSerName val="0"/>
          <c:showPercent val="0"/>
          <c:showBubbleSize val="0"/>
          <c:extLst>
            <c:ext xmlns:c15="http://schemas.microsoft.com/office/drawing/2012/chart" uri="{CE6537A1-D6FC-4f65-9D91-7224C49458BB}"/>
          </c:extLst>
        </c:dLbl>
      </c:pivotFmt>
      <c:pivotFmt>
        <c:idx val="89"/>
        <c:spPr>
          <a:solidFill>
            <a:schemeClr val="accent1"/>
          </a:solidFill>
          <a:ln>
            <a:noFill/>
          </a:ln>
          <a:effectLst/>
        </c:spPr>
        <c:marker>
          <c:symbol val="none"/>
        </c:marker>
        <c:dLbl>
          <c:idx val="0"/>
          <c:showLegendKey val="0"/>
          <c:showVal val="1"/>
          <c:showCatName val="0"/>
          <c:showSerName val="0"/>
          <c:showPercent val="0"/>
          <c:showBubbleSize val="0"/>
          <c:extLst>
            <c:ext xmlns:c15="http://schemas.microsoft.com/office/drawing/2012/chart" uri="{CE6537A1-D6FC-4f65-9D91-7224C49458BB}"/>
          </c:extLst>
        </c:dLbl>
      </c:pivotFmt>
      <c:pivotFmt>
        <c:idx val="90"/>
        <c:spPr>
          <a:solidFill>
            <a:schemeClr val="accent1"/>
          </a:solidFill>
          <a:ln>
            <a:noFill/>
          </a:ln>
          <a:effectLst/>
        </c:spPr>
        <c:marker>
          <c:symbol val="none"/>
        </c:marker>
        <c:dLbl>
          <c:idx val="0"/>
          <c:showLegendKey val="0"/>
          <c:showVal val="1"/>
          <c:showCatName val="0"/>
          <c:showSerName val="0"/>
          <c:showPercent val="0"/>
          <c:showBubbleSize val="0"/>
          <c:extLst>
            <c:ext xmlns:c15="http://schemas.microsoft.com/office/drawing/2012/chart" uri="{CE6537A1-D6FC-4f65-9D91-7224C49458BB}"/>
          </c:extLst>
        </c:dLbl>
      </c:pivotFmt>
      <c:pivotFmt>
        <c:idx val="91"/>
        <c:spPr>
          <a:solidFill>
            <a:schemeClr val="accent1"/>
          </a:solidFill>
          <a:ln>
            <a:noFill/>
          </a:ln>
          <a:effectLst/>
        </c:spPr>
        <c:marker>
          <c:symbol val="none"/>
        </c:marker>
        <c:dLbl>
          <c:idx val="0"/>
          <c:showLegendKey val="0"/>
          <c:showVal val="1"/>
          <c:showCatName val="0"/>
          <c:showSerName val="0"/>
          <c:showPercent val="0"/>
          <c:showBubbleSize val="0"/>
          <c:extLst>
            <c:ext xmlns:c15="http://schemas.microsoft.com/office/drawing/2012/chart" uri="{CE6537A1-D6FC-4f65-9D91-7224C49458BB}"/>
          </c:extLst>
        </c:dLbl>
      </c:pivotFmt>
      <c:pivotFmt>
        <c:idx val="92"/>
        <c:spPr>
          <a:solidFill>
            <a:schemeClr val="accent1"/>
          </a:solidFill>
          <a:ln>
            <a:noFill/>
          </a:ln>
          <a:effectLst/>
        </c:spPr>
        <c:marker>
          <c:symbol val="none"/>
        </c:marker>
        <c:dLbl>
          <c:idx val="0"/>
          <c:showLegendKey val="0"/>
          <c:showVal val="1"/>
          <c:showCatName val="0"/>
          <c:showSerName val="0"/>
          <c:showPercent val="0"/>
          <c:showBubbleSize val="0"/>
          <c:extLst>
            <c:ext xmlns:c15="http://schemas.microsoft.com/office/drawing/2012/chart" uri="{CE6537A1-D6FC-4f65-9D91-7224C49458BB}"/>
          </c:extLst>
        </c:dLbl>
      </c:pivotFmt>
      <c:pivotFmt>
        <c:idx val="93"/>
        <c:spPr>
          <a:solidFill>
            <a:schemeClr val="accent1"/>
          </a:solidFill>
          <a:ln>
            <a:noFill/>
          </a:ln>
          <a:effectLst/>
        </c:spPr>
        <c:marker>
          <c:symbol val="none"/>
        </c:marker>
        <c:dLbl>
          <c:idx val="0"/>
          <c:showLegendKey val="0"/>
          <c:showVal val="1"/>
          <c:showCatName val="0"/>
          <c:showSerName val="0"/>
          <c:showPercent val="0"/>
          <c:showBubbleSize val="0"/>
          <c:extLst>
            <c:ext xmlns:c15="http://schemas.microsoft.com/office/drawing/2012/chart" uri="{CE6537A1-D6FC-4f65-9D91-7224C49458BB}"/>
          </c:extLst>
        </c:dLbl>
      </c:pivotFmt>
      <c:pivotFmt>
        <c:idx val="94"/>
        <c:spPr>
          <a:solidFill>
            <a:schemeClr val="accent1"/>
          </a:solidFill>
          <a:ln>
            <a:noFill/>
          </a:ln>
          <a:effectLst/>
        </c:spPr>
        <c:marker>
          <c:symbol val="none"/>
        </c:marker>
        <c:dLbl>
          <c:idx val="0"/>
          <c:showLegendKey val="0"/>
          <c:showVal val="1"/>
          <c:showCatName val="0"/>
          <c:showSerName val="0"/>
          <c:showPercent val="0"/>
          <c:showBubbleSize val="0"/>
          <c:extLst>
            <c:ext xmlns:c15="http://schemas.microsoft.com/office/drawing/2012/chart" uri="{CE6537A1-D6FC-4f65-9D91-7224C49458BB}"/>
          </c:extLst>
        </c:dLbl>
      </c:pivotFmt>
      <c:pivotFmt>
        <c:idx val="95"/>
        <c:spPr>
          <a:solidFill>
            <a:schemeClr val="accent1"/>
          </a:solidFill>
          <a:ln>
            <a:noFill/>
          </a:ln>
          <a:effectLst/>
        </c:spPr>
        <c:marker>
          <c:symbol val="none"/>
        </c:marker>
        <c:dLbl>
          <c:idx val="0"/>
          <c:showLegendKey val="0"/>
          <c:showVal val="1"/>
          <c:showCatName val="0"/>
          <c:showSerName val="0"/>
          <c:showPercent val="0"/>
          <c:showBubbleSize val="0"/>
          <c:extLst>
            <c:ext xmlns:c15="http://schemas.microsoft.com/office/drawing/2012/chart" uri="{CE6537A1-D6FC-4f65-9D91-7224C49458BB}"/>
          </c:extLst>
        </c:dLbl>
      </c:pivotFmt>
      <c:pivotFmt>
        <c:idx val="96"/>
        <c:spPr>
          <a:solidFill>
            <a:schemeClr val="accent1"/>
          </a:solidFill>
          <a:ln>
            <a:noFill/>
          </a:ln>
          <a:effectLst/>
        </c:spPr>
        <c:marker>
          <c:symbol val="none"/>
        </c:marker>
        <c:dLbl>
          <c:idx val="0"/>
          <c:showLegendKey val="0"/>
          <c:showVal val="1"/>
          <c:showCatName val="0"/>
          <c:showSerName val="0"/>
          <c:showPercent val="0"/>
          <c:showBubbleSize val="0"/>
          <c:extLst>
            <c:ext xmlns:c15="http://schemas.microsoft.com/office/drawing/2012/chart" uri="{CE6537A1-D6FC-4f65-9D91-7224C49458BB}"/>
          </c:extLst>
        </c:dLbl>
      </c:pivotFmt>
      <c:pivotFmt>
        <c:idx val="97"/>
        <c:spPr>
          <a:solidFill>
            <a:schemeClr val="accent1"/>
          </a:solidFill>
          <a:ln>
            <a:noFill/>
          </a:ln>
          <a:effectLst/>
        </c:spPr>
        <c:marker>
          <c:symbol val="none"/>
        </c:marker>
        <c:dLbl>
          <c:idx val="0"/>
          <c:showLegendKey val="0"/>
          <c:showVal val="1"/>
          <c:showCatName val="0"/>
          <c:showSerName val="0"/>
          <c:showPercent val="0"/>
          <c:showBubbleSize val="0"/>
          <c:extLst>
            <c:ext xmlns:c15="http://schemas.microsoft.com/office/drawing/2012/chart" uri="{CE6537A1-D6FC-4f65-9D91-7224C49458BB}"/>
          </c:extLst>
        </c:dLbl>
      </c:pivotFmt>
      <c:pivotFmt>
        <c:idx val="98"/>
        <c:spPr>
          <a:solidFill>
            <a:schemeClr val="accent1"/>
          </a:solidFill>
          <a:ln>
            <a:noFill/>
          </a:ln>
          <a:effectLst/>
        </c:spPr>
        <c:marker>
          <c:symbol val="none"/>
        </c:marker>
        <c:dLbl>
          <c:idx val="0"/>
          <c:showLegendKey val="0"/>
          <c:showVal val="1"/>
          <c:showCatName val="0"/>
          <c:showSerName val="0"/>
          <c:showPercent val="0"/>
          <c:showBubbleSize val="0"/>
          <c:extLst>
            <c:ext xmlns:c15="http://schemas.microsoft.com/office/drawing/2012/chart" uri="{CE6537A1-D6FC-4f65-9D91-7224C49458BB}"/>
          </c:extLst>
        </c:dLbl>
      </c:pivotFmt>
      <c:pivotFmt>
        <c:idx val="99"/>
        <c:spPr>
          <a:solidFill>
            <a:schemeClr val="accent1"/>
          </a:solidFill>
          <a:ln>
            <a:noFill/>
          </a:ln>
          <a:effectLst/>
        </c:spPr>
        <c:marker>
          <c:symbol val="none"/>
        </c:marker>
        <c:dLbl>
          <c:idx val="0"/>
          <c:showLegendKey val="0"/>
          <c:showVal val="1"/>
          <c:showCatName val="0"/>
          <c:showSerName val="0"/>
          <c:showPercent val="0"/>
          <c:showBubbleSize val="0"/>
          <c:extLst>
            <c:ext xmlns:c15="http://schemas.microsoft.com/office/drawing/2012/chart" uri="{CE6537A1-D6FC-4f65-9D91-7224C49458BB}"/>
          </c:extLst>
        </c:dLbl>
      </c:pivotFmt>
      <c:pivotFmt>
        <c:idx val="100"/>
        <c:spPr>
          <a:solidFill>
            <a:schemeClr val="accent1"/>
          </a:solidFill>
          <a:ln>
            <a:noFill/>
          </a:ln>
          <a:effectLst/>
        </c:spPr>
        <c:marker>
          <c:symbol val="none"/>
        </c:marker>
        <c:dLbl>
          <c:idx val="0"/>
          <c:showLegendKey val="0"/>
          <c:showVal val="1"/>
          <c:showCatName val="0"/>
          <c:showSerName val="0"/>
          <c:showPercent val="0"/>
          <c:showBubbleSize val="0"/>
          <c:extLst>
            <c:ext xmlns:c15="http://schemas.microsoft.com/office/drawing/2012/chart" uri="{CE6537A1-D6FC-4f65-9D91-7224C49458BB}"/>
          </c:extLst>
        </c:dLbl>
      </c:pivotFmt>
      <c:pivotFmt>
        <c:idx val="101"/>
        <c:spPr>
          <a:solidFill>
            <a:schemeClr val="accent1"/>
          </a:solidFill>
          <a:ln>
            <a:noFill/>
          </a:ln>
          <a:effectLst/>
        </c:spPr>
        <c:marker>
          <c:symbol val="none"/>
        </c:marker>
        <c:dLbl>
          <c:idx val="0"/>
          <c:showLegendKey val="0"/>
          <c:showVal val="1"/>
          <c:showCatName val="0"/>
          <c:showSerName val="0"/>
          <c:showPercent val="0"/>
          <c:showBubbleSize val="0"/>
          <c:extLst>
            <c:ext xmlns:c15="http://schemas.microsoft.com/office/drawing/2012/chart" uri="{CE6537A1-D6FC-4f65-9D91-7224C49458BB}"/>
          </c:extLst>
        </c:dLbl>
      </c:pivotFmt>
      <c:pivotFmt>
        <c:idx val="102"/>
        <c:spPr>
          <a:solidFill>
            <a:schemeClr val="accent1"/>
          </a:solidFill>
          <a:ln>
            <a:noFill/>
          </a:ln>
          <a:effectLst/>
        </c:spPr>
        <c:marker>
          <c:symbol val="none"/>
        </c:marker>
        <c:dLbl>
          <c:idx val="0"/>
          <c:showLegendKey val="0"/>
          <c:showVal val="1"/>
          <c:showCatName val="0"/>
          <c:showSerName val="0"/>
          <c:showPercent val="0"/>
          <c:showBubbleSize val="0"/>
          <c:extLst>
            <c:ext xmlns:c15="http://schemas.microsoft.com/office/drawing/2012/chart" uri="{CE6537A1-D6FC-4f65-9D91-7224C49458BB}"/>
          </c:extLst>
        </c:dLbl>
      </c:pivotFmt>
      <c:pivotFmt>
        <c:idx val="103"/>
        <c:spPr>
          <a:solidFill>
            <a:schemeClr val="accent1"/>
          </a:solidFill>
          <a:ln>
            <a:noFill/>
          </a:ln>
          <a:effectLst/>
        </c:spPr>
        <c:marker>
          <c:symbol val="none"/>
        </c:marker>
        <c:dLbl>
          <c:idx val="0"/>
          <c:showLegendKey val="0"/>
          <c:showVal val="1"/>
          <c:showCatName val="0"/>
          <c:showSerName val="0"/>
          <c:showPercent val="0"/>
          <c:showBubbleSize val="0"/>
          <c:extLst>
            <c:ext xmlns:c15="http://schemas.microsoft.com/office/drawing/2012/chart" uri="{CE6537A1-D6FC-4f65-9D91-7224C49458BB}"/>
          </c:extLst>
        </c:dLbl>
      </c:pivotFmt>
      <c:pivotFmt>
        <c:idx val="104"/>
        <c:spPr>
          <a:solidFill>
            <a:schemeClr val="accent1"/>
          </a:solidFill>
          <a:ln>
            <a:noFill/>
          </a:ln>
          <a:effectLst/>
        </c:spPr>
        <c:marker>
          <c:symbol val="none"/>
        </c:marker>
        <c:dLbl>
          <c:idx val="0"/>
          <c:showLegendKey val="0"/>
          <c:showVal val="1"/>
          <c:showCatName val="0"/>
          <c:showSerName val="0"/>
          <c:showPercent val="0"/>
          <c:showBubbleSize val="0"/>
          <c:extLst>
            <c:ext xmlns:c15="http://schemas.microsoft.com/office/drawing/2012/chart" uri="{CE6537A1-D6FC-4f65-9D91-7224C49458BB}"/>
          </c:extLst>
        </c:dLbl>
      </c:pivotFmt>
      <c:pivotFmt>
        <c:idx val="105"/>
        <c:spPr>
          <a:solidFill>
            <a:schemeClr val="accent1"/>
          </a:solidFill>
          <a:ln>
            <a:noFill/>
          </a:ln>
          <a:effectLst/>
        </c:spPr>
        <c:marker>
          <c:symbol val="none"/>
        </c:marker>
        <c:dLbl>
          <c:idx val="0"/>
          <c:showLegendKey val="0"/>
          <c:showVal val="1"/>
          <c:showCatName val="0"/>
          <c:showSerName val="0"/>
          <c:showPercent val="0"/>
          <c:showBubbleSize val="0"/>
          <c:extLst>
            <c:ext xmlns:c15="http://schemas.microsoft.com/office/drawing/2012/chart" uri="{CE6537A1-D6FC-4f65-9D91-7224C49458BB}"/>
          </c:extLst>
        </c:dLbl>
      </c:pivotFmt>
      <c:pivotFmt>
        <c:idx val="106"/>
        <c:spPr>
          <a:solidFill>
            <a:schemeClr val="accent1"/>
          </a:solidFill>
          <a:ln>
            <a:noFill/>
          </a:ln>
          <a:effectLst/>
        </c:spPr>
        <c:marker>
          <c:symbol val="none"/>
        </c:marker>
        <c:dLbl>
          <c:idx val="0"/>
          <c:showLegendKey val="0"/>
          <c:showVal val="1"/>
          <c:showCatName val="0"/>
          <c:showSerName val="0"/>
          <c:showPercent val="0"/>
          <c:showBubbleSize val="0"/>
          <c:extLst>
            <c:ext xmlns:c15="http://schemas.microsoft.com/office/drawing/2012/chart" uri="{CE6537A1-D6FC-4f65-9D91-7224C49458BB}"/>
          </c:extLst>
        </c:dLbl>
      </c:pivotFmt>
      <c:pivotFmt>
        <c:idx val="107"/>
        <c:spPr>
          <a:solidFill>
            <a:schemeClr val="accent1"/>
          </a:solidFill>
          <a:ln>
            <a:noFill/>
          </a:ln>
          <a:effectLst/>
        </c:spPr>
        <c:marker>
          <c:symbol val="none"/>
        </c:marker>
        <c:dLbl>
          <c:idx val="0"/>
          <c:showLegendKey val="0"/>
          <c:showVal val="1"/>
          <c:showCatName val="0"/>
          <c:showSerName val="0"/>
          <c:showPercent val="0"/>
          <c:showBubbleSize val="0"/>
          <c:extLst>
            <c:ext xmlns:c15="http://schemas.microsoft.com/office/drawing/2012/chart" uri="{CE6537A1-D6FC-4f65-9D91-7224C49458BB}"/>
          </c:extLst>
        </c:dLbl>
      </c:pivotFmt>
      <c:pivotFmt>
        <c:idx val="108"/>
        <c:spPr>
          <a:solidFill>
            <a:schemeClr val="accent1"/>
          </a:solidFill>
          <a:ln>
            <a:noFill/>
          </a:ln>
          <a:effectLst/>
        </c:spPr>
        <c:marker>
          <c:symbol val="none"/>
        </c:marker>
        <c:dLbl>
          <c:idx val="0"/>
          <c:showLegendKey val="0"/>
          <c:showVal val="1"/>
          <c:showCatName val="0"/>
          <c:showSerName val="0"/>
          <c:showPercent val="0"/>
          <c:showBubbleSize val="0"/>
          <c:extLst>
            <c:ext xmlns:c15="http://schemas.microsoft.com/office/drawing/2012/chart" uri="{CE6537A1-D6FC-4f65-9D91-7224C49458BB}"/>
          </c:extLst>
        </c:dLbl>
      </c:pivotFmt>
      <c:pivotFmt>
        <c:idx val="109"/>
        <c:spPr>
          <a:solidFill>
            <a:schemeClr val="accent1"/>
          </a:solidFill>
          <a:ln>
            <a:noFill/>
          </a:ln>
          <a:effectLst/>
        </c:spPr>
        <c:marker>
          <c:symbol val="none"/>
        </c:marker>
        <c:dLbl>
          <c:idx val="0"/>
          <c:showLegendKey val="0"/>
          <c:showVal val="1"/>
          <c:showCatName val="0"/>
          <c:showSerName val="0"/>
          <c:showPercent val="0"/>
          <c:showBubbleSize val="0"/>
          <c:extLst>
            <c:ext xmlns:c15="http://schemas.microsoft.com/office/drawing/2012/chart" uri="{CE6537A1-D6FC-4f65-9D91-7224C49458BB}"/>
          </c:extLst>
        </c:dLbl>
      </c:pivotFmt>
      <c:pivotFmt>
        <c:idx val="110"/>
        <c:spPr>
          <a:solidFill>
            <a:schemeClr val="accent1"/>
          </a:solidFill>
          <a:ln>
            <a:noFill/>
          </a:ln>
          <a:effectLst/>
        </c:spPr>
        <c:marker>
          <c:symbol val="none"/>
        </c:marker>
        <c:dLbl>
          <c:idx val="0"/>
          <c:showLegendKey val="0"/>
          <c:showVal val="1"/>
          <c:showCatName val="0"/>
          <c:showSerName val="0"/>
          <c:showPercent val="0"/>
          <c:showBubbleSize val="0"/>
          <c:extLst>
            <c:ext xmlns:c15="http://schemas.microsoft.com/office/drawing/2012/chart" uri="{CE6537A1-D6FC-4f65-9D91-7224C49458BB}"/>
          </c:extLst>
        </c:dLbl>
      </c:pivotFmt>
      <c:pivotFmt>
        <c:idx val="111"/>
        <c:spPr>
          <a:solidFill>
            <a:schemeClr val="accent1"/>
          </a:solidFill>
          <a:ln>
            <a:noFill/>
          </a:ln>
          <a:effectLst/>
        </c:spPr>
        <c:marker>
          <c:symbol val="none"/>
        </c:marker>
        <c:dLbl>
          <c:idx val="0"/>
          <c:showLegendKey val="0"/>
          <c:showVal val="1"/>
          <c:showCatName val="0"/>
          <c:showSerName val="0"/>
          <c:showPercent val="0"/>
          <c:showBubbleSize val="0"/>
          <c:extLst>
            <c:ext xmlns:c15="http://schemas.microsoft.com/office/drawing/2012/chart" uri="{CE6537A1-D6FC-4f65-9D91-7224C49458BB}"/>
          </c:extLst>
        </c:dLbl>
      </c:pivotFmt>
      <c:pivotFmt>
        <c:idx val="112"/>
        <c:spPr>
          <a:solidFill>
            <a:schemeClr val="accent1"/>
          </a:solidFill>
          <a:ln>
            <a:noFill/>
          </a:ln>
          <a:effectLst/>
        </c:spPr>
        <c:marker>
          <c:symbol val="none"/>
        </c:marker>
        <c:dLbl>
          <c:idx val="0"/>
          <c:showLegendKey val="0"/>
          <c:showVal val="1"/>
          <c:showCatName val="0"/>
          <c:showSerName val="0"/>
          <c:showPercent val="0"/>
          <c:showBubbleSize val="0"/>
          <c:extLst>
            <c:ext xmlns:c15="http://schemas.microsoft.com/office/drawing/2012/chart" uri="{CE6537A1-D6FC-4f65-9D91-7224C49458BB}"/>
          </c:extLst>
        </c:dLbl>
      </c:pivotFmt>
      <c:pivotFmt>
        <c:idx val="113"/>
        <c:spPr>
          <a:solidFill>
            <a:schemeClr val="accent1"/>
          </a:solidFill>
          <a:ln>
            <a:noFill/>
          </a:ln>
          <a:effectLst/>
        </c:spPr>
        <c:marker>
          <c:symbol val="none"/>
        </c:marker>
        <c:dLbl>
          <c:idx val="0"/>
          <c:showLegendKey val="0"/>
          <c:showVal val="1"/>
          <c:showCatName val="0"/>
          <c:showSerName val="0"/>
          <c:showPercent val="0"/>
          <c:showBubbleSize val="0"/>
          <c:extLst>
            <c:ext xmlns:c15="http://schemas.microsoft.com/office/drawing/2012/chart" uri="{CE6537A1-D6FC-4f65-9D91-7224C49458BB}"/>
          </c:extLst>
        </c:dLbl>
      </c:pivotFmt>
      <c:pivotFmt>
        <c:idx val="114"/>
        <c:spPr>
          <a:solidFill>
            <a:schemeClr val="accent1"/>
          </a:solidFill>
          <a:ln>
            <a:noFill/>
          </a:ln>
          <a:effectLst/>
        </c:spPr>
        <c:marker>
          <c:symbol val="none"/>
        </c:marker>
        <c:dLbl>
          <c:idx val="0"/>
          <c:showLegendKey val="0"/>
          <c:showVal val="1"/>
          <c:showCatName val="0"/>
          <c:showSerName val="0"/>
          <c:showPercent val="0"/>
          <c:showBubbleSize val="0"/>
          <c:extLst>
            <c:ext xmlns:c15="http://schemas.microsoft.com/office/drawing/2012/chart" uri="{CE6537A1-D6FC-4f65-9D91-7224C49458BB}"/>
          </c:extLst>
        </c:dLbl>
      </c:pivotFmt>
      <c:pivotFmt>
        <c:idx val="115"/>
        <c:spPr>
          <a:solidFill>
            <a:schemeClr val="accent1"/>
          </a:solidFill>
          <a:ln>
            <a:noFill/>
          </a:ln>
          <a:effectLst/>
        </c:spPr>
        <c:marker>
          <c:symbol val="none"/>
        </c:marker>
        <c:dLbl>
          <c:idx val="0"/>
          <c:showLegendKey val="0"/>
          <c:showVal val="1"/>
          <c:showCatName val="0"/>
          <c:showSerName val="0"/>
          <c:showPercent val="0"/>
          <c:showBubbleSize val="0"/>
          <c:extLst>
            <c:ext xmlns:c15="http://schemas.microsoft.com/office/drawing/2012/chart" uri="{CE6537A1-D6FC-4f65-9D91-7224C49458BB}"/>
          </c:extLst>
        </c:dLbl>
      </c:pivotFmt>
      <c:pivotFmt>
        <c:idx val="116"/>
        <c:spPr>
          <a:solidFill>
            <a:schemeClr val="accent1"/>
          </a:solidFill>
          <a:ln>
            <a:noFill/>
          </a:ln>
          <a:effectLst/>
        </c:spPr>
        <c:marker>
          <c:symbol val="none"/>
        </c:marker>
        <c:dLbl>
          <c:idx val="0"/>
          <c:showLegendKey val="0"/>
          <c:showVal val="1"/>
          <c:showCatName val="0"/>
          <c:showSerName val="0"/>
          <c:showPercent val="0"/>
          <c:showBubbleSize val="0"/>
          <c:extLst>
            <c:ext xmlns:c15="http://schemas.microsoft.com/office/drawing/2012/chart" uri="{CE6537A1-D6FC-4f65-9D91-7224C49458BB}"/>
          </c:extLst>
        </c:dLbl>
      </c:pivotFmt>
      <c:pivotFmt>
        <c:idx val="117"/>
        <c:spPr>
          <a:solidFill>
            <a:schemeClr val="accent1"/>
          </a:solidFill>
          <a:ln>
            <a:noFill/>
          </a:ln>
          <a:effectLst/>
        </c:spPr>
        <c:marker>
          <c:symbol val="none"/>
        </c:marker>
        <c:dLbl>
          <c:idx val="0"/>
          <c:showLegendKey val="0"/>
          <c:showVal val="1"/>
          <c:showCatName val="0"/>
          <c:showSerName val="0"/>
          <c:showPercent val="0"/>
          <c:showBubbleSize val="0"/>
          <c:extLst>
            <c:ext xmlns:c15="http://schemas.microsoft.com/office/drawing/2012/chart" uri="{CE6537A1-D6FC-4f65-9D91-7224C49458BB}"/>
          </c:extLst>
        </c:dLbl>
      </c:pivotFmt>
      <c:pivotFmt>
        <c:idx val="118"/>
        <c:spPr>
          <a:solidFill>
            <a:schemeClr val="accent1"/>
          </a:solidFill>
          <a:ln>
            <a:noFill/>
          </a:ln>
          <a:effectLst/>
        </c:spPr>
        <c:marker>
          <c:symbol val="none"/>
        </c:marker>
        <c:dLbl>
          <c:idx val="0"/>
          <c:showLegendKey val="0"/>
          <c:showVal val="1"/>
          <c:showCatName val="0"/>
          <c:showSerName val="0"/>
          <c:showPercent val="0"/>
          <c:showBubbleSize val="0"/>
          <c:extLst>
            <c:ext xmlns:c15="http://schemas.microsoft.com/office/drawing/2012/chart" uri="{CE6537A1-D6FC-4f65-9D91-7224C49458BB}"/>
          </c:extLst>
        </c:dLbl>
      </c:pivotFmt>
      <c:pivotFmt>
        <c:idx val="119"/>
        <c:spPr>
          <a:solidFill>
            <a:schemeClr val="accent1"/>
          </a:solidFill>
          <a:ln>
            <a:noFill/>
          </a:ln>
          <a:effectLst/>
        </c:spPr>
        <c:marker>
          <c:symbol val="none"/>
        </c:marker>
        <c:dLbl>
          <c:idx val="0"/>
          <c:showLegendKey val="0"/>
          <c:showVal val="1"/>
          <c:showCatName val="0"/>
          <c:showSerName val="0"/>
          <c:showPercent val="0"/>
          <c:showBubbleSize val="0"/>
          <c:extLst>
            <c:ext xmlns:c15="http://schemas.microsoft.com/office/drawing/2012/chart" uri="{CE6537A1-D6FC-4f65-9D91-7224C49458BB}"/>
          </c:extLst>
        </c:dLbl>
      </c:pivotFmt>
      <c:pivotFmt>
        <c:idx val="120"/>
        <c:spPr>
          <a:solidFill>
            <a:schemeClr val="accent1"/>
          </a:solidFill>
          <a:ln>
            <a:noFill/>
          </a:ln>
          <a:effectLst/>
        </c:spPr>
        <c:marker>
          <c:symbol val="none"/>
        </c:marker>
        <c:dLbl>
          <c:idx val="0"/>
          <c:showLegendKey val="0"/>
          <c:showVal val="1"/>
          <c:showCatName val="0"/>
          <c:showSerName val="0"/>
          <c:showPercent val="0"/>
          <c:showBubbleSize val="0"/>
          <c:extLst>
            <c:ext xmlns:c15="http://schemas.microsoft.com/office/drawing/2012/chart" uri="{CE6537A1-D6FC-4f65-9D91-7224C49458BB}"/>
          </c:extLst>
        </c:dLbl>
      </c:pivotFmt>
      <c:pivotFmt>
        <c:idx val="121"/>
        <c:spPr>
          <a:solidFill>
            <a:schemeClr val="accent1"/>
          </a:solidFill>
          <a:ln>
            <a:noFill/>
          </a:ln>
          <a:effectLst/>
        </c:spPr>
        <c:marker>
          <c:symbol val="none"/>
        </c:marker>
        <c:dLbl>
          <c:idx val="0"/>
          <c:showLegendKey val="0"/>
          <c:showVal val="1"/>
          <c:showCatName val="0"/>
          <c:showSerName val="0"/>
          <c:showPercent val="0"/>
          <c:showBubbleSize val="0"/>
          <c:extLst>
            <c:ext xmlns:c15="http://schemas.microsoft.com/office/drawing/2012/chart" uri="{CE6537A1-D6FC-4f65-9D91-7224C49458BB}"/>
          </c:extLst>
        </c:dLbl>
      </c:pivotFmt>
      <c:pivotFmt>
        <c:idx val="122"/>
        <c:spPr>
          <a:solidFill>
            <a:schemeClr val="accent1"/>
          </a:solidFill>
          <a:ln>
            <a:noFill/>
          </a:ln>
          <a:effectLst/>
        </c:spPr>
        <c:marker>
          <c:symbol val="none"/>
        </c:marker>
        <c:dLbl>
          <c:idx val="0"/>
          <c:showLegendKey val="0"/>
          <c:showVal val="1"/>
          <c:showCatName val="0"/>
          <c:showSerName val="0"/>
          <c:showPercent val="0"/>
          <c:showBubbleSize val="0"/>
          <c:extLst>
            <c:ext xmlns:c15="http://schemas.microsoft.com/office/drawing/2012/chart" uri="{CE6537A1-D6FC-4f65-9D91-7224C49458BB}"/>
          </c:extLst>
        </c:dLbl>
      </c:pivotFmt>
      <c:pivotFmt>
        <c:idx val="123"/>
        <c:spPr>
          <a:solidFill>
            <a:schemeClr val="accent1"/>
          </a:solidFill>
          <a:ln>
            <a:noFill/>
          </a:ln>
          <a:effectLst/>
        </c:spPr>
        <c:marker>
          <c:symbol val="none"/>
        </c:marker>
        <c:dLbl>
          <c:idx val="0"/>
          <c:showLegendKey val="0"/>
          <c:showVal val="1"/>
          <c:showCatName val="0"/>
          <c:showSerName val="0"/>
          <c:showPercent val="0"/>
          <c:showBubbleSize val="0"/>
          <c:extLst>
            <c:ext xmlns:c15="http://schemas.microsoft.com/office/drawing/2012/chart" uri="{CE6537A1-D6FC-4f65-9D91-7224C49458BB}"/>
          </c:extLst>
        </c:dLbl>
      </c:pivotFmt>
      <c:pivotFmt>
        <c:idx val="124"/>
        <c:spPr>
          <a:solidFill>
            <a:schemeClr val="accent1"/>
          </a:solidFill>
          <a:ln>
            <a:noFill/>
          </a:ln>
          <a:effectLst/>
        </c:spPr>
        <c:marker>
          <c:symbol val="none"/>
        </c:marker>
        <c:dLbl>
          <c:idx val="0"/>
          <c:showLegendKey val="0"/>
          <c:showVal val="1"/>
          <c:showCatName val="0"/>
          <c:showSerName val="0"/>
          <c:showPercent val="0"/>
          <c:showBubbleSize val="0"/>
          <c:extLst>
            <c:ext xmlns:c15="http://schemas.microsoft.com/office/drawing/2012/chart" uri="{CE6537A1-D6FC-4f65-9D91-7224C49458BB}"/>
          </c:extLst>
        </c:dLbl>
      </c:pivotFmt>
      <c:pivotFmt>
        <c:idx val="125"/>
        <c:spPr>
          <a:solidFill>
            <a:schemeClr val="accent1"/>
          </a:solidFill>
          <a:ln>
            <a:noFill/>
          </a:ln>
          <a:effectLst/>
        </c:spPr>
        <c:marker>
          <c:symbol val="none"/>
        </c:marker>
        <c:dLbl>
          <c:idx val="0"/>
          <c:showLegendKey val="0"/>
          <c:showVal val="1"/>
          <c:showCatName val="0"/>
          <c:showSerName val="0"/>
          <c:showPercent val="0"/>
          <c:showBubbleSize val="0"/>
          <c:extLst>
            <c:ext xmlns:c15="http://schemas.microsoft.com/office/drawing/2012/chart" uri="{CE6537A1-D6FC-4f65-9D91-7224C49458BB}"/>
          </c:extLst>
        </c:dLbl>
      </c:pivotFmt>
      <c:pivotFmt>
        <c:idx val="126"/>
        <c:spPr>
          <a:solidFill>
            <a:schemeClr val="accent1"/>
          </a:solidFill>
          <a:ln>
            <a:noFill/>
          </a:ln>
          <a:effectLst/>
        </c:spPr>
        <c:marker>
          <c:symbol val="none"/>
        </c:marker>
        <c:dLbl>
          <c:idx val="0"/>
          <c:showLegendKey val="0"/>
          <c:showVal val="1"/>
          <c:showCatName val="0"/>
          <c:showSerName val="0"/>
          <c:showPercent val="0"/>
          <c:showBubbleSize val="0"/>
          <c:extLst>
            <c:ext xmlns:c15="http://schemas.microsoft.com/office/drawing/2012/chart" uri="{CE6537A1-D6FC-4f65-9D91-7224C49458BB}"/>
          </c:extLst>
        </c:dLbl>
      </c:pivotFmt>
      <c:pivotFmt>
        <c:idx val="127"/>
        <c:spPr>
          <a:solidFill>
            <a:schemeClr val="accent1"/>
          </a:solidFill>
          <a:ln>
            <a:noFill/>
          </a:ln>
          <a:effectLst/>
        </c:spPr>
        <c:marker>
          <c:symbol val="none"/>
        </c:marker>
        <c:dLbl>
          <c:idx val="0"/>
          <c:showLegendKey val="0"/>
          <c:showVal val="1"/>
          <c:showCatName val="0"/>
          <c:showSerName val="0"/>
          <c:showPercent val="0"/>
          <c:showBubbleSize val="0"/>
          <c:extLst>
            <c:ext xmlns:c15="http://schemas.microsoft.com/office/drawing/2012/chart" uri="{CE6537A1-D6FC-4f65-9D91-7224C49458BB}"/>
          </c:extLst>
        </c:dLbl>
      </c:pivotFmt>
      <c:pivotFmt>
        <c:idx val="128"/>
        <c:spPr>
          <a:solidFill>
            <a:schemeClr val="accent1"/>
          </a:solidFill>
          <a:ln>
            <a:noFill/>
          </a:ln>
          <a:effectLst/>
        </c:spPr>
        <c:marker>
          <c:symbol val="none"/>
        </c:marker>
        <c:dLbl>
          <c:idx val="0"/>
          <c:showLegendKey val="0"/>
          <c:showVal val="1"/>
          <c:showCatName val="0"/>
          <c:showSerName val="0"/>
          <c:showPercent val="0"/>
          <c:showBubbleSize val="0"/>
          <c:extLst>
            <c:ext xmlns:c15="http://schemas.microsoft.com/office/drawing/2012/chart" uri="{CE6537A1-D6FC-4f65-9D91-7224C49458BB}"/>
          </c:extLst>
        </c:dLbl>
      </c:pivotFmt>
      <c:pivotFmt>
        <c:idx val="129"/>
        <c:spPr>
          <a:solidFill>
            <a:schemeClr val="accent1"/>
          </a:solidFill>
          <a:ln>
            <a:noFill/>
          </a:ln>
          <a:effectLst/>
        </c:spPr>
        <c:marker>
          <c:symbol val="none"/>
        </c:marker>
        <c:dLbl>
          <c:idx val="0"/>
          <c:showLegendKey val="0"/>
          <c:showVal val="1"/>
          <c:showCatName val="0"/>
          <c:showSerName val="0"/>
          <c:showPercent val="0"/>
          <c:showBubbleSize val="0"/>
          <c:extLst>
            <c:ext xmlns:c15="http://schemas.microsoft.com/office/drawing/2012/chart" uri="{CE6537A1-D6FC-4f65-9D91-7224C49458BB}"/>
          </c:extLst>
        </c:dLbl>
      </c:pivotFmt>
      <c:pivotFmt>
        <c:idx val="130"/>
        <c:spPr>
          <a:solidFill>
            <a:schemeClr val="accent1"/>
          </a:solidFill>
          <a:ln>
            <a:noFill/>
          </a:ln>
          <a:effectLst/>
        </c:spPr>
        <c:marker>
          <c:symbol val="none"/>
        </c:marker>
        <c:dLbl>
          <c:idx val="0"/>
          <c:showLegendKey val="0"/>
          <c:showVal val="1"/>
          <c:showCatName val="0"/>
          <c:showSerName val="0"/>
          <c:showPercent val="0"/>
          <c:showBubbleSize val="0"/>
          <c:extLst>
            <c:ext xmlns:c15="http://schemas.microsoft.com/office/drawing/2012/chart" uri="{CE6537A1-D6FC-4f65-9D91-7224C49458BB}"/>
          </c:extLst>
        </c:dLbl>
      </c:pivotFmt>
      <c:pivotFmt>
        <c:idx val="131"/>
        <c:spPr>
          <a:solidFill>
            <a:schemeClr val="accent1"/>
          </a:solidFill>
          <a:ln>
            <a:noFill/>
          </a:ln>
          <a:effectLst/>
        </c:spPr>
        <c:marker>
          <c:symbol val="none"/>
        </c:marker>
        <c:dLbl>
          <c:idx val="0"/>
          <c:showLegendKey val="0"/>
          <c:showVal val="1"/>
          <c:showCatName val="0"/>
          <c:showSerName val="0"/>
          <c:showPercent val="0"/>
          <c:showBubbleSize val="0"/>
          <c:extLst>
            <c:ext xmlns:c15="http://schemas.microsoft.com/office/drawing/2012/chart" uri="{CE6537A1-D6FC-4f65-9D91-7224C49458BB}"/>
          </c:extLst>
        </c:dLbl>
      </c:pivotFmt>
      <c:pivotFmt>
        <c:idx val="132"/>
        <c:spPr>
          <a:solidFill>
            <a:schemeClr val="accent1"/>
          </a:solidFill>
          <a:ln>
            <a:noFill/>
          </a:ln>
          <a:effectLst/>
        </c:spPr>
        <c:marker>
          <c:symbol val="none"/>
        </c:marker>
        <c:dLbl>
          <c:idx val="0"/>
          <c:showLegendKey val="0"/>
          <c:showVal val="1"/>
          <c:showCatName val="0"/>
          <c:showSerName val="0"/>
          <c:showPercent val="0"/>
          <c:showBubbleSize val="0"/>
          <c:extLst>
            <c:ext xmlns:c15="http://schemas.microsoft.com/office/drawing/2012/chart" uri="{CE6537A1-D6FC-4f65-9D91-7224C49458BB}"/>
          </c:extLst>
        </c:dLbl>
      </c:pivotFmt>
      <c:pivotFmt>
        <c:idx val="133"/>
        <c:spPr>
          <a:solidFill>
            <a:schemeClr val="accent1"/>
          </a:solidFill>
          <a:ln>
            <a:noFill/>
          </a:ln>
          <a:effectLst/>
        </c:spPr>
        <c:marker>
          <c:symbol val="none"/>
        </c:marker>
        <c:dLbl>
          <c:idx val="0"/>
          <c:showLegendKey val="0"/>
          <c:showVal val="1"/>
          <c:showCatName val="0"/>
          <c:showSerName val="0"/>
          <c:showPercent val="0"/>
          <c:showBubbleSize val="0"/>
          <c:extLst>
            <c:ext xmlns:c15="http://schemas.microsoft.com/office/drawing/2012/chart" uri="{CE6537A1-D6FC-4f65-9D91-7224C49458BB}"/>
          </c:extLst>
        </c:dLbl>
      </c:pivotFmt>
      <c:pivotFmt>
        <c:idx val="134"/>
        <c:spPr>
          <a:solidFill>
            <a:schemeClr val="accent1"/>
          </a:solidFill>
          <a:ln>
            <a:noFill/>
          </a:ln>
          <a:effectLst/>
        </c:spPr>
        <c:marker>
          <c:symbol val="none"/>
        </c:marker>
        <c:dLbl>
          <c:idx val="0"/>
          <c:showLegendKey val="0"/>
          <c:showVal val="1"/>
          <c:showCatName val="0"/>
          <c:showSerName val="0"/>
          <c:showPercent val="0"/>
          <c:showBubbleSize val="0"/>
          <c:extLst>
            <c:ext xmlns:c15="http://schemas.microsoft.com/office/drawing/2012/chart" uri="{CE6537A1-D6FC-4f65-9D91-7224C49458BB}"/>
          </c:extLst>
        </c:dLbl>
      </c:pivotFmt>
      <c:pivotFmt>
        <c:idx val="135"/>
        <c:spPr>
          <a:solidFill>
            <a:schemeClr val="accent1"/>
          </a:solidFill>
          <a:ln>
            <a:noFill/>
          </a:ln>
          <a:effectLst/>
        </c:spPr>
        <c:marker>
          <c:symbol val="none"/>
        </c:marker>
        <c:dLbl>
          <c:idx val="0"/>
          <c:showLegendKey val="0"/>
          <c:showVal val="1"/>
          <c:showCatName val="0"/>
          <c:showSerName val="0"/>
          <c:showPercent val="0"/>
          <c:showBubbleSize val="0"/>
          <c:extLst>
            <c:ext xmlns:c15="http://schemas.microsoft.com/office/drawing/2012/chart" uri="{CE6537A1-D6FC-4f65-9D91-7224C49458BB}"/>
          </c:extLst>
        </c:dLbl>
      </c:pivotFmt>
      <c:pivotFmt>
        <c:idx val="136"/>
        <c:spPr>
          <a:solidFill>
            <a:schemeClr val="accent1"/>
          </a:solidFill>
          <a:ln>
            <a:noFill/>
          </a:ln>
          <a:effectLst/>
        </c:spPr>
        <c:marker>
          <c:symbol val="none"/>
        </c:marker>
        <c:dLbl>
          <c:idx val="0"/>
          <c:showLegendKey val="0"/>
          <c:showVal val="1"/>
          <c:showCatName val="0"/>
          <c:showSerName val="0"/>
          <c:showPercent val="0"/>
          <c:showBubbleSize val="0"/>
          <c:extLst>
            <c:ext xmlns:c15="http://schemas.microsoft.com/office/drawing/2012/chart" uri="{CE6537A1-D6FC-4f65-9D91-7224C49458BB}"/>
          </c:extLst>
        </c:dLbl>
      </c:pivotFmt>
      <c:pivotFmt>
        <c:idx val="137"/>
        <c:spPr>
          <a:solidFill>
            <a:schemeClr val="accent1"/>
          </a:solidFill>
          <a:ln>
            <a:noFill/>
          </a:ln>
          <a:effectLst/>
        </c:spPr>
        <c:marker>
          <c:symbol val="none"/>
        </c:marker>
        <c:dLbl>
          <c:idx val="0"/>
          <c:showLegendKey val="0"/>
          <c:showVal val="1"/>
          <c:showCatName val="0"/>
          <c:showSerName val="0"/>
          <c:showPercent val="0"/>
          <c:showBubbleSize val="0"/>
          <c:extLst>
            <c:ext xmlns:c15="http://schemas.microsoft.com/office/drawing/2012/chart" uri="{CE6537A1-D6FC-4f65-9D91-7224C49458BB}"/>
          </c:extLst>
        </c:dLbl>
      </c:pivotFmt>
      <c:pivotFmt>
        <c:idx val="138"/>
        <c:spPr>
          <a:solidFill>
            <a:schemeClr val="accent1"/>
          </a:solidFill>
          <a:ln>
            <a:noFill/>
          </a:ln>
          <a:effectLst/>
        </c:spPr>
        <c:marker>
          <c:symbol val="none"/>
        </c:marker>
        <c:dLbl>
          <c:idx val="0"/>
          <c:showLegendKey val="0"/>
          <c:showVal val="1"/>
          <c:showCatName val="0"/>
          <c:showSerName val="0"/>
          <c:showPercent val="0"/>
          <c:showBubbleSize val="0"/>
          <c:extLst>
            <c:ext xmlns:c15="http://schemas.microsoft.com/office/drawing/2012/chart" uri="{CE6537A1-D6FC-4f65-9D91-7224C49458BB}"/>
          </c:extLst>
        </c:dLbl>
      </c:pivotFmt>
      <c:pivotFmt>
        <c:idx val="139"/>
        <c:spPr>
          <a:solidFill>
            <a:schemeClr val="accent1"/>
          </a:solidFill>
          <a:ln>
            <a:noFill/>
          </a:ln>
          <a:effectLst/>
        </c:spPr>
        <c:marker>
          <c:symbol val="none"/>
        </c:marker>
        <c:dLbl>
          <c:idx val="0"/>
          <c:showLegendKey val="0"/>
          <c:showVal val="1"/>
          <c:showCatName val="0"/>
          <c:showSerName val="0"/>
          <c:showPercent val="0"/>
          <c:showBubbleSize val="0"/>
          <c:extLst>
            <c:ext xmlns:c15="http://schemas.microsoft.com/office/drawing/2012/chart" uri="{CE6537A1-D6FC-4f65-9D91-7224C49458BB}"/>
          </c:extLst>
        </c:dLbl>
      </c:pivotFmt>
      <c:pivotFmt>
        <c:idx val="140"/>
        <c:spPr>
          <a:solidFill>
            <a:schemeClr val="accent1"/>
          </a:solidFill>
          <a:ln>
            <a:noFill/>
          </a:ln>
          <a:effectLst/>
        </c:spPr>
        <c:marker>
          <c:symbol val="none"/>
        </c:marker>
        <c:dLbl>
          <c:idx val="0"/>
          <c:showLegendKey val="0"/>
          <c:showVal val="1"/>
          <c:showCatName val="0"/>
          <c:showSerName val="0"/>
          <c:showPercent val="0"/>
          <c:showBubbleSize val="0"/>
          <c:extLst>
            <c:ext xmlns:c15="http://schemas.microsoft.com/office/drawing/2012/chart" uri="{CE6537A1-D6FC-4f65-9D91-7224C49458BB}"/>
          </c:extLst>
        </c:dLbl>
      </c:pivotFmt>
      <c:pivotFmt>
        <c:idx val="141"/>
        <c:spPr>
          <a:solidFill>
            <a:schemeClr val="accent1"/>
          </a:solidFill>
          <a:ln>
            <a:noFill/>
          </a:ln>
          <a:effectLst/>
        </c:spPr>
        <c:marker>
          <c:symbol val="none"/>
        </c:marker>
        <c:dLbl>
          <c:idx val="0"/>
          <c:showLegendKey val="0"/>
          <c:showVal val="1"/>
          <c:showCatName val="0"/>
          <c:showSerName val="0"/>
          <c:showPercent val="0"/>
          <c:showBubbleSize val="0"/>
          <c:extLst>
            <c:ext xmlns:c15="http://schemas.microsoft.com/office/drawing/2012/chart" uri="{CE6537A1-D6FC-4f65-9D91-7224C49458BB}"/>
          </c:extLst>
        </c:dLbl>
      </c:pivotFmt>
      <c:pivotFmt>
        <c:idx val="142"/>
        <c:spPr>
          <a:solidFill>
            <a:schemeClr val="accent1"/>
          </a:solidFill>
          <a:ln>
            <a:noFill/>
          </a:ln>
          <a:effectLst/>
        </c:spPr>
        <c:marker>
          <c:symbol val="none"/>
        </c:marker>
        <c:dLbl>
          <c:idx val="0"/>
          <c:showLegendKey val="0"/>
          <c:showVal val="1"/>
          <c:showCatName val="0"/>
          <c:showSerName val="0"/>
          <c:showPercent val="0"/>
          <c:showBubbleSize val="0"/>
          <c:extLst>
            <c:ext xmlns:c15="http://schemas.microsoft.com/office/drawing/2012/chart" uri="{CE6537A1-D6FC-4f65-9D91-7224C49458BB}"/>
          </c:extLst>
        </c:dLbl>
      </c:pivotFmt>
      <c:pivotFmt>
        <c:idx val="143"/>
        <c:spPr>
          <a:solidFill>
            <a:schemeClr val="accent1"/>
          </a:solidFill>
          <a:ln>
            <a:noFill/>
          </a:ln>
          <a:effectLst/>
        </c:spPr>
        <c:marker>
          <c:symbol val="none"/>
        </c:marker>
        <c:dLbl>
          <c:idx val="0"/>
          <c:showLegendKey val="0"/>
          <c:showVal val="1"/>
          <c:showCatName val="0"/>
          <c:showSerName val="0"/>
          <c:showPercent val="0"/>
          <c:showBubbleSize val="0"/>
          <c:extLst>
            <c:ext xmlns:c15="http://schemas.microsoft.com/office/drawing/2012/chart" uri="{CE6537A1-D6FC-4f65-9D91-7224C49458BB}"/>
          </c:extLst>
        </c:dLbl>
      </c:pivotFmt>
      <c:pivotFmt>
        <c:idx val="144"/>
        <c:spPr>
          <a:solidFill>
            <a:schemeClr val="accent1"/>
          </a:solidFill>
          <a:ln>
            <a:noFill/>
          </a:ln>
          <a:effectLst/>
        </c:spPr>
        <c:marker>
          <c:symbol val="none"/>
        </c:marker>
        <c:dLbl>
          <c:idx val="0"/>
          <c:showLegendKey val="0"/>
          <c:showVal val="1"/>
          <c:showCatName val="0"/>
          <c:showSerName val="0"/>
          <c:showPercent val="0"/>
          <c:showBubbleSize val="0"/>
          <c:extLst>
            <c:ext xmlns:c15="http://schemas.microsoft.com/office/drawing/2012/chart" uri="{CE6537A1-D6FC-4f65-9D91-7224C49458BB}"/>
          </c:extLst>
        </c:dLbl>
      </c:pivotFmt>
      <c:pivotFmt>
        <c:idx val="145"/>
        <c:spPr>
          <a:solidFill>
            <a:schemeClr val="accent1"/>
          </a:solidFill>
          <a:ln>
            <a:noFill/>
          </a:ln>
          <a:effectLst/>
        </c:spPr>
        <c:marker>
          <c:symbol val="none"/>
        </c:marker>
        <c:dLbl>
          <c:idx val="0"/>
          <c:showLegendKey val="0"/>
          <c:showVal val="1"/>
          <c:showCatName val="0"/>
          <c:showSerName val="0"/>
          <c:showPercent val="0"/>
          <c:showBubbleSize val="0"/>
          <c:extLst>
            <c:ext xmlns:c15="http://schemas.microsoft.com/office/drawing/2012/chart" uri="{CE6537A1-D6FC-4f65-9D91-7224C49458BB}"/>
          </c:extLst>
        </c:dLbl>
      </c:pivotFmt>
      <c:pivotFmt>
        <c:idx val="146"/>
        <c:spPr>
          <a:solidFill>
            <a:schemeClr val="accent1"/>
          </a:solidFill>
          <a:ln>
            <a:noFill/>
          </a:ln>
          <a:effectLst/>
        </c:spPr>
        <c:marker>
          <c:symbol val="none"/>
        </c:marker>
        <c:dLbl>
          <c:idx val="0"/>
          <c:showLegendKey val="0"/>
          <c:showVal val="1"/>
          <c:showCatName val="0"/>
          <c:showSerName val="0"/>
          <c:showPercent val="0"/>
          <c:showBubbleSize val="0"/>
          <c:extLst>
            <c:ext xmlns:c15="http://schemas.microsoft.com/office/drawing/2012/chart" uri="{CE6537A1-D6FC-4f65-9D91-7224C49458BB}"/>
          </c:extLst>
        </c:dLbl>
      </c:pivotFmt>
      <c:pivotFmt>
        <c:idx val="147"/>
        <c:spPr>
          <a:solidFill>
            <a:schemeClr val="accent1"/>
          </a:solidFill>
          <a:ln>
            <a:noFill/>
          </a:ln>
          <a:effectLst/>
        </c:spPr>
        <c:marker>
          <c:symbol val="none"/>
        </c:marker>
        <c:dLbl>
          <c:idx val="0"/>
          <c:showLegendKey val="0"/>
          <c:showVal val="1"/>
          <c:showCatName val="0"/>
          <c:showSerName val="0"/>
          <c:showPercent val="0"/>
          <c:showBubbleSize val="0"/>
          <c:extLst>
            <c:ext xmlns:c15="http://schemas.microsoft.com/office/drawing/2012/chart" uri="{CE6537A1-D6FC-4f65-9D91-7224C49458BB}"/>
          </c:extLst>
        </c:dLbl>
      </c:pivotFmt>
      <c:pivotFmt>
        <c:idx val="148"/>
        <c:spPr>
          <a:solidFill>
            <a:schemeClr val="accent1"/>
          </a:solidFill>
          <a:ln>
            <a:noFill/>
          </a:ln>
          <a:effectLst/>
        </c:spPr>
      </c:pivotFmt>
      <c:pivotFmt>
        <c:idx val="149"/>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50"/>
        <c:spPr>
          <a:solidFill>
            <a:schemeClr val="accent1"/>
          </a:solidFill>
          <a:ln>
            <a:noFill/>
          </a:ln>
          <a:effectLst/>
        </c:spPr>
        <c:marker>
          <c:symbol val="none"/>
        </c:marker>
        <c:dLbl>
          <c:idx val="0"/>
          <c:showLegendKey val="0"/>
          <c:showVal val="1"/>
          <c:showCatName val="0"/>
          <c:showSerName val="0"/>
          <c:showPercent val="0"/>
          <c:showBubbleSize val="0"/>
          <c:extLst>
            <c:ext xmlns:c15="http://schemas.microsoft.com/office/drawing/2012/chart" uri="{CE6537A1-D6FC-4f65-9D91-7224C49458BB}"/>
          </c:extLst>
        </c:dLbl>
      </c:pivotFmt>
      <c:pivotFmt>
        <c:idx val="151"/>
        <c:spPr>
          <a:solidFill>
            <a:schemeClr val="accent1"/>
          </a:solidFill>
          <a:ln>
            <a:noFill/>
          </a:ln>
          <a:effectLst/>
        </c:spPr>
        <c:marker>
          <c:symbol val="none"/>
        </c:marker>
        <c:dLbl>
          <c:idx val="0"/>
          <c:showLegendKey val="0"/>
          <c:showVal val="1"/>
          <c:showCatName val="0"/>
          <c:showSerName val="0"/>
          <c:showPercent val="0"/>
          <c:showBubbleSize val="0"/>
          <c:extLst>
            <c:ext xmlns:c15="http://schemas.microsoft.com/office/drawing/2012/chart" uri="{CE6537A1-D6FC-4f65-9D91-7224C49458BB}"/>
          </c:extLst>
        </c:dLbl>
      </c:pivotFmt>
      <c:pivotFmt>
        <c:idx val="152"/>
        <c:spPr>
          <a:solidFill>
            <a:schemeClr val="accent1"/>
          </a:solidFill>
          <a:ln>
            <a:noFill/>
          </a:ln>
          <a:effectLst/>
        </c:spPr>
        <c:marker>
          <c:symbol val="none"/>
        </c:marker>
        <c:dLbl>
          <c:idx val="0"/>
          <c:showLegendKey val="0"/>
          <c:showVal val="1"/>
          <c:showCatName val="0"/>
          <c:showSerName val="0"/>
          <c:showPercent val="0"/>
          <c:showBubbleSize val="0"/>
          <c:extLst>
            <c:ext xmlns:c15="http://schemas.microsoft.com/office/drawing/2012/chart" uri="{CE6537A1-D6FC-4f65-9D91-7224C49458BB}"/>
          </c:extLst>
        </c:dLbl>
      </c:pivotFmt>
      <c:pivotFmt>
        <c:idx val="153"/>
        <c:spPr>
          <a:solidFill>
            <a:schemeClr val="accent1"/>
          </a:solidFill>
          <a:ln>
            <a:noFill/>
          </a:ln>
          <a:effectLst/>
        </c:spPr>
        <c:marker>
          <c:symbol val="none"/>
        </c:marker>
        <c:dLbl>
          <c:idx val="0"/>
          <c:showLegendKey val="0"/>
          <c:showVal val="1"/>
          <c:showCatName val="0"/>
          <c:showSerName val="0"/>
          <c:showPercent val="0"/>
          <c:showBubbleSize val="0"/>
          <c:extLst>
            <c:ext xmlns:c15="http://schemas.microsoft.com/office/drawing/2012/chart" uri="{CE6537A1-D6FC-4f65-9D91-7224C49458BB}"/>
          </c:extLst>
        </c:dLbl>
      </c:pivotFmt>
      <c:pivotFmt>
        <c:idx val="154"/>
        <c:spPr>
          <a:solidFill>
            <a:schemeClr val="accent1"/>
          </a:solidFill>
          <a:ln>
            <a:noFill/>
          </a:ln>
          <a:effectLst/>
        </c:spPr>
        <c:marker>
          <c:symbol val="none"/>
        </c:marker>
        <c:dLbl>
          <c:idx val="0"/>
          <c:showLegendKey val="0"/>
          <c:showVal val="1"/>
          <c:showCatName val="0"/>
          <c:showSerName val="0"/>
          <c:showPercent val="0"/>
          <c:showBubbleSize val="0"/>
          <c:extLst>
            <c:ext xmlns:c15="http://schemas.microsoft.com/office/drawing/2012/chart" uri="{CE6537A1-D6FC-4f65-9D91-7224C49458BB}"/>
          </c:extLst>
        </c:dLbl>
      </c:pivotFmt>
      <c:pivotFmt>
        <c:idx val="155"/>
        <c:spPr>
          <a:solidFill>
            <a:schemeClr val="accent1"/>
          </a:solidFill>
          <a:ln>
            <a:noFill/>
          </a:ln>
          <a:effectLst/>
        </c:spPr>
        <c:marker>
          <c:symbol val="none"/>
        </c:marker>
        <c:dLbl>
          <c:idx val="0"/>
          <c:showLegendKey val="0"/>
          <c:showVal val="1"/>
          <c:showCatName val="0"/>
          <c:showSerName val="0"/>
          <c:showPercent val="0"/>
          <c:showBubbleSize val="0"/>
          <c:extLst>
            <c:ext xmlns:c15="http://schemas.microsoft.com/office/drawing/2012/chart" uri="{CE6537A1-D6FC-4f65-9D91-7224C49458BB}"/>
          </c:extLst>
        </c:dLbl>
      </c:pivotFmt>
      <c:pivotFmt>
        <c:idx val="156"/>
        <c:spPr>
          <a:solidFill>
            <a:schemeClr val="accent1"/>
          </a:solidFill>
          <a:ln>
            <a:noFill/>
          </a:ln>
          <a:effectLst/>
        </c:spPr>
        <c:marker>
          <c:symbol val="none"/>
        </c:marker>
        <c:dLbl>
          <c:idx val="0"/>
          <c:showLegendKey val="0"/>
          <c:showVal val="1"/>
          <c:showCatName val="0"/>
          <c:showSerName val="0"/>
          <c:showPercent val="0"/>
          <c:showBubbleSize val="0"/>
          <c:extLst>
            <c:ext xmlns:c15="http://schemas.microsoft.com/office/drawing/2012/chart" uri="{CE6537A1-D6FC-4f65-9D91-7224C49458BB}"/>
          </c:extLst>
        </c:dLbl>
      </c:pivotFmt>
      <c:pivotFmt>
        <c:idx val="157"/>
        <c:spPr>
          <a:solidFill>
            <a:schemeClr val="accent1"/>
          </a:solidFill>
          <a:ln>
            <a:noFill/>
          </a:ln>
          <a:effectLst/>
        </c:spPr>
        <c:marker>
          <c:symbol val="none"/>
        </c:marker>
        <c:dLbl>
          <c:idx val="0"/>
          <c:showLegendKey val="0"/>
          <c:showVal val="1"/>
          <c:showCatName val="0"/>
          <c:showSerName val="0"/>
          <c:showPercent val="0"/>
          <c:showBubbleSize val="0"/>
          <c:extLst>
            <c:ext xmlns:c15="http://schemas.microsoft.com/office/drawing/2012/chart" uri="{CE6537A1-D6FC-4f65-9D91-7224C49458BB}"/>
          </c:extLst>
        </c:dLbl>
      </c:pivotFmt>
      <c:pivotFmt>
        <c:idx val="158"/>
        <c:spPr>
          <a:solidFill>
            <a:schemeClr val="accent1"/>
          </a:solidFill>
          <a:ln>
            <a:noFill/>
          </a:ln>
          <a:effectLst/>
        </c:spPr>
        <c:marker>
          <c:symbol val="none"/>
        </c:marker>
        <c:dLbl>
          <c:idx val="0"/>
          <c:showLegendKey val="0"/>
          <c:showVal val="1"/>
          <c:showCatName val="0"/>
          <c:showSerName val="0"/>
          <c:showPercent val="0"/>
          <c:showBubbleSize val="0"/>
          <c:extLst>
            <c:ext xmlns:c15="http://schemas.microsoft.com/office/drawing/2012/chart" uri="{CE6537A1-D6FC-4f65-9D91-7224C49458BB}"/>
          </c:extLst>
        </c:dLbl>
      </c:pivotFmt>
      <c:pivotFmt>
        <c:idx val="159"/>
        <c:spPr>
          <a:solidFill>
            <a:schemeClr val="accent1"/>
          </a:solidFill>
          <a:ln>
            <a:noFill/>
          </a:ln>
          <a:effectLst/>
        </c:spPr>
        <c:marker>
          <c:symbol val="none"/>
        </c:marker>
        <c:dLbl>
          <c:idx val="0"/>
          <c:showLegendKey val="0"/>
          <c:showVal val="1"/>
          <c:showCatName val="0"/>
          <c:showSerName val="0"/>
          <c:showPercent val="0"/>
          <c:showBubbleSize val="0"/>
          <c:extLst>
            <c:ext xmlns:c15="http://schemas.microsoft.com/office/drawing/2012/chart" uri="{CE6537A1-D6FC-4f65-9D91-7224C49458BB}"/>
          </c:extLst>
        </c:dLbl>
      </c:pivotFmt>
      <c:pivotFmt>
        <c:idx val="16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61"/>
      </c:pivotFmt>
      <c:pivotFmt>
        <c:idx val="162"/>
        <c:spPr>
          <a:solidFill>
            <a:schemeClr val="accent1"/>
          </a:solidFill>
          <a:ln>
            <a:noFill/>
          </a:ln>
          <a:effectLst/>
        </c:spPr>
      </c:pivotFmt>
    </c:pivotFmts>
    <c:plotArea>
      <c:layout>
        <c:manualLayout>
          <c:layoutTarget val="inner"/>
          <c:xMode val="edge"/>
          <c:yMode val="edge"/>
          <c:x val="0.22653900175926456"/>
          <c:y val="6.1569287667994708E-2"/>
          <c:w val="0.75521572271721249"/>
          <c:h val="0.86681594359491243"/>
        </c:manualLayout>
      </c:layout>
      <c:barChart>
        <c:barDir val="bar"/>
        <c:grouping val="clustered"/>
        <c:varyColors val="0"/>
        <c:ser>
          <c:idx val="0"/>
          <c:order val="0"/>
          <c:tx>
            <c:strRef>
              <c:f>'Bar - monthly expense'!$B$4</c:f>
              <c:strCache>
                <c:ptCount val="1"/>
                <c:pt idx="0">
                  <c:v>Total</c:v>
                </c:pt>
              </c:strCache>
            </c:strRef>
          </c:tx>
          <c:spPr>
            <a:solidFill>
              <a:schemeClr val="accent1"/>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multiLvlStrRef>
              <c:f>'Bar - monthly expense'!$A$5:$A$15</c:f>
              <c:multiLvlStrCache>
                <c:ptCount val="9"/>
                <c:lvl>
                  <c:pt idx="0">
                    <c:v>Wants</c:v>
                  </c:pt>
                  <c:pt idx="1">
                    <c:v>Health</c:v>
                  </c:pt>
                  <c:pt idx="2">
                    <c:v>Housing</c:v>
                  </c:pt>
                  <c:pt idx="3">
                    <c:v>Gifts</c:v>
                  </c:pt>
                  <c:pt idx="4">
                    <c:v>Pets</c:v>
                  </c:pt>
                  <c:pt idx="5">
                    <c:v>Food</c:v>
                  </c:pt>
                  <c:pt idx="6">
                    <c:v>Investments</c:v>
                  </c:pt>
                  <c:pt idx="7">
                    <c:v>Other</c:v>
                  </c:pt>
                  <c:pt idx="8">
                    <c:v>Utilities</c:v>
                  </c:pt>
                </c:lvl>
                <c:lvl>
                  <c:pt idx="0">
                    <c:v>Jan</c:v>
                  </c:pt>
                </c:lvl>
              </c:multiLvlStrCache>
            </c:multiLvlStrRef>
          </c:cat>
          <c:val>
            <c:numRef>
              <c:f>'Bar - monthly expense'!$B$5:$B$15</c:f>
              <c:numCache>
                <c:formatCode>_-* #,##0\ [$Kč-405]_-;\-* #,##0\ [$Kč-405]_-;_-* "-"??\ [$Kč-405]_-;_-@_-</c:formatCode>
                <c:ptCount val="9"/>
                <c:pt idx="0">
                  <c:v>204</c:v>
                </c:pt>
                <c:pt idx="1">
                  <c:v>877</c:v>
                </c:pt>
                <c:pt idx="2">
                  <c:v>1311</c:v>
                </c:pt>
                <c:pt idx="3">
                  <c:v>2161</c:v>
                </c:pt>
                <c:pt idx="4">
                  <c:v>3159</c:v>
                </c:pt>
                <c:pt idx="5">
                  <c:v>9376</c:v>
                </c:pt>
                <c:pt idx="6">
                  <c:v>10000</c:v>
                </c:pt>
                <c:pt idx="7">
                  <c:v>14715</c:v>
                </c:pt>
                <c:pt idx="8">
                  <c:v>24059</c:v>
                </c:pt>
              </c:numCache>
            </c:numRef>
          </c:val>
          <c:extLst>
            <c:ext xmlns:c16="http://schemas.microsoft.com/office/drawing/2014/chart" uri="{C3380CC4-5D6E-409C-BE32-E72D297353CC}">
              <c16:uniqueId val="{00000000-D7D7-4A9C-8558-88538FF40A8C}"/>
            </c:ext>
          </c:extLst>
        </c:ser>
        <c:dLbls>
          <c:showLegendKey val="0"/>
          <c:showVal val="1"/>
          <c:showCatName val="0"/>
          <c:showSerName val="0"/>
          <c:showPercent val="0"/>
          <c:showBubbleSize val="0"/>
        </c:dLbls>
        <c:gapWidth val="77"/>
        <c:axId val="569855727"/>
        <c:axId val="569855247"/>
      </c:barChart>
      <c:catAx>
        <c:axId val="569855727"/>
        <c:scaling>
          <c:orientation val="minMax"/>
        </c:scaling>
        <c:delete val="0"/>
        <c:axPos val="l"/>
        <c:numFmt formatCode="General"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69855247"/>
        <c:crosses val="autoZero"/>
        <c:auto val="0"/>
        <c:lblAlgn val="ctr"/>
        <c:lblOffset val="100"/>
        <c:noMultiLvlLbl val="0"/>
      </c:catAx>
      <c:valAx>
        <c:axId val="569855247"/>
        <c:scaling>
          <c:orientation val="minMax"/>
          <c:max val="30000"/>
        </c:scaling>
        <c:delete val="1"/>
        <c:axPos val="b"/>
        <c:majorGridlines>
          <c:spPr>
            <a:ln w="9525" cap="flat" cmpd="sng" algn="ctr">
              <a:noFill/>
              <a:round/>
            </a:ln>
            <a:effectLst/>
          </c:spPr>
        </c:majorGridlines>
        <c:numFmt formatCode="_-* #,##0\ [$Kč-405]_-;\-* #,##0\ [$Kč-405]_-;_-* &quot;-&quot;??\ [$Kč-405]_-;_-@_-" sourceLinked="1"/>
        <c:majorTickMark val="none"/>
        <c:minorTickMark val="none"/>
        <c:tickLblPos val="nextTo"/>
        <c:crossAx val="569855727"/>
        <c:crosses val="autoZero"/>
        <c:crossBetween val="between"/>
        <c:majorUnit val="5000"/>
        <c:minorUnit val="5000"/>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12700" cap="flat" cmpd="sng" algn="ctr">
      <a:solidFill>
        <a:schemeClr val="bg1">
          <a:lumMod val="6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3"/>
    </mc:Choice>
    <mc:Fallback>
      <c:style val="3"/>
    </mc:Fallback>
  </mc:AlternateContent>
  <c:pivotSource>
    <c:name>[expense_tracker.xlsm]Line - total IN.OUT!Month in vs out</c:name>
    <c:fmtId val="39"/>
  </c:pivotSource>
  <c:chart>
    <c:autoTitleDeleted val="1"/>
    <c:pivotFmts>
      <c:pivotFmt>
        <c:idx val="0"/>
        <c:dLbl>
          <c:idx val="0"/>
          <c:showLegendKey val="0"/>
          <c:showVal val="0"/>
          <c:showCatName val="0"/>
          <c:showSerName val="0"/>
          <c:showPercent val="0"/>
          <c:showBubbleSize val="0"/>
          <c:extLst>
            <c:ext xmlns:c15="http://schemas.microsoft.com/office/drawing/2012/chart" uri="{CE6537A1-D6FC-4f65-9D91-7224C49458BB}"/>
          </c:extLst>
        </c:dLbl>
      </c:pivotFmt>
      <c:pivotFmt>
        <c:idx val="1"/>
        <c:dLbl>
          <c:idx val="0"/>
          <c:showLegendKey val="0"/>
          <c:showVal val="0"/>
          <c:showCatName val="0"/>
          <c:showSerName val="0"/>
          <c:showPercent val="0"/>
          <c:showBubbleSize val="0"/>
          <c:extLst>
            <c:ext xmlns:c15="http://schemas.microsoft.com/office/drawing/2012/chart" uri="{CE6537A1-D6FC-4f65-9D91-7224C49458BB}"/>
          </c:extLst>
        </c:dLbl>
      </c:pivotFmt>
      <c:pivotFmt>
        <c:idx val="2"/>
        <c:dLbl>
          <c:idx val="0"/>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w="19050">
            <a:solidFill>
              <a:schemeClr val="lt1"/>
            </a:solidFill>
          </a:ln>
          <a:effectLst/>
        </c:spPr>
        <c:marker>
          <c:symbol val="circle"/>
          <c:size val="5"/>
        </c:marker>
        <c:dLbl>
          <c:idx val="0"/>
          <c:spPr>
            <a:noFill/>
            <a:ln>
              <a:noFill/>
            </a:ln>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bg1"/>
                  </a:solidFill>
                  <a:latin typeface="+mn-lt"/>
                  <a:ea typeface="+mn-ea"/>
                  <a:cs typeface="+mn-cs"/>
                </a:defRPr>
              </a:pPr>
              <a:endParaRPr lang="en-US"/>
            </a:p>
          </c:txPr>
          <c:showLegendKey val="0"/>
          <c:showVal val="1"/>
          <c:showCatName val="1"/>
          <c:showSerName val="0"/>
          <c:showPercent val="0"/>
          <c:showBubbleSize val="0"/>
          <c:extLst>
            <c:ext xmlns:c15="http://schemas.microsoft.com/office/drawing/2012/chart" uri="{CE6537A1-D6FC-4f65-9D91-7224C49458BB}"/>
          </c:extLst>
        </c:dLbl>
      </c:pivotFmt>
      <c:pivotFmt>
        <c:idx val="4"/>
        <c:dLbl>
          <c:idx val="0"/>
          <c:showLegendKey val="0"/>
          <c:showVal val="1"/>
          <c:showCatName val="1"/>
          <c:showSerName val="0"/>
          <c:showPercent val="0"/>
          <c:showBubbleSize val="0"/>
          <c:extLst>
            <c:ext xmlns:c15="http://schemas.microsoft.com/office/drawing/2012/chart" uri="{CE6537A1-D6FC-4f65-9D91-7224C49458BB}"/>
          </c:extLst>
        </c:dLbl>
      </c:pivotFmt>
      <c:pivotFmt>
        <c:idx val="5"/>
        <c:dLbl>
          <c:idx val="0"/>
          <c:showLegendKey val="0"/>
          <c:showVal val="1"/>
          <c:showCatName val="1"/>
          <c:showSerName val="0"/>
          <c:showPercent val="0"/>
          <c:showBubbleSize val="0"/>
          <c:extLst>
            <c:ext xmlns:c15="http://schemas.microsoft.com/office/drawing/2012/chart" uri="{CE6537A1-D6FC-4f65-9D91-7224C49458BB}"/>
          </c:extLst>
        </c:dLbl>
      </c:pivotFmt>
      <c:pivotFmt>
        <c:idx val="6"/>
        <c:dLbl>
          <c:idx val="0"/>
          <c:showLegendKey val="0"/>
          <c:showVal val="1"/>
          <c:showCatName val="1"/>
          <c:showSerName val="0"/>
          <c:showPercent val="0"/>
          <c:showBubbleSize val="0"/>
          <c:extLst>
            <c:ext xmlns:c15="http://schemas.microsoft.com/office/drawing/2012/chart" uri="{CE6537A1-D6FC-4f65-9D91-7224C49458BB}"/>
          </c:extLst>
        </c:dLbl>
      </c:pivotFmt>
      <c:pivotFmt>
        <c:idx val="7"/>
        <c:dLbl>
          <c:idx val="0"/>
          <c:showLegendKey val="0"/>
          <c:showVal val="1"/>
          <c:showCatName val="1"/>
          <c:showSerName val="0"/>
          <c:showPercent val="0"/>
          <c:showBubbleSize val="0"/>
          <c:extLst>
            <c:ext xmlns:c15="http://schemas.microsoft.com/office/drawing/2012/chart" uri="{CE6537A1-D6FC-4f65-9D91-7224C49458BB}"/>
          </c:extLst>
        </c:dLbl>
      </c:pivotFmt>
      <c:pivotFmt>
        <c:idx val="8"/>
        <c:dLbl>
          <c:idx val="0"/>
          <c:showLegendKey val="0"/>
          <c:showVal val="1"/>
          <c:showCatName val="1"/>
          <c:showSerName val="0"/>
          <c:showPercent val="0"/>
          <c:showBubbleSize val="0"/>
          <c:extLst>
            <c:ext xmlns:c15="http://schemas.microsoft.com/office/drawing/2012/chart" uri="{CE6537A1-D6FC-4f65-9D91-7224C49458BB}"/>
          </c:extLst>
        </c:dLbl>
      </c:pivotFmt>
      <c:pivotFmt>
        <c:idx val="9"/>
        <c:dLbl>
          <c:idx val="0"/>
          <c:showLegendKey val="0"/>
          <c:showVal val="1"/>
          <c:showCatName val="1"/>
          <c:showSerName val="0"/>
          <c:showPercent val="0"/>
          <c:showBubbleSize val="0"/>
          <c:extLst>
            <c:ext xmlns:c15="http://schemas.microsoft.com/office/drawing/2012/chart" uri="{CE6537A1-D6FC-4f65-9D91-7224C49458BB}"/>
          </c:extLst>
        </c:dLbl>
      </c:pivotFmt>
      <c:pivotFmt>
        <c:idx val="10"/>
        <c:dLbl>
          <c:idx val="0"/>
          <c:showLegendKey val="0"/>
          <c:showVal val="1"/>
          <c:showCatName val="1"/>
          <c:showSerName val="0"/>
          <c:showPercent val="0"/>
          <c:showBubbleSize val="0"/>
          <c:extLst>
            <c:ext xmlns:c15="http://schemas.microsoft.com/office/drawing/2012/chart" uri="{CE6537A1-D6FC-4f65-9D91-7224C49458BB}"/>
          </c:extLst>
        </c:dLbl>
      </c:pivotFmt>
      <c:pivotFmt>
        <c:idx val="11"/>
        <c:dLbl>
          <c:idx val="0"/>
          <c:showLegendKey val="0"/>
          <c:showVal val="1"/>
          <c:showCatName val="1"/>
          <c:showSerName val="0"/>
          <c:showPercent val="0"/>
          <c:showBubbleSize val="0"/>
          <c:extLst>
            <c:ext xmlns:c15="http://schemas.microsoft.com/office/drawing/2012/chart" uri="{CE6537A1-D6FC-4f65-9D91-7224C49458BB}"/>
          </c:extLst>
        </c:dLbl>
      </c:pivotFmt>
      <c:pivotFmt>
        <c:idx val="12"/>
        <c:dLbl>
          <c:idx val="0"/>
          <c:showLegendKey val="0"/>
          <c:showVal val="1"/>
          <c:showCatName val="1"/>
          <c:showSerName val="0"/>
          <c:showPercent val="0"/>
          <c:showBubbleSize val="0"/>
          <c:extLst>
            <c:ext xmlns:c15="http://schemas.microsoft.com/office/drawing/2012/chart" uri="{CE6537A1-D6FC-4f65-9D91-7224C49458BB}"/>
          </c:extLst>
        </c:dLbl>
      </c:pivotFmt>
      <c:pivotFmt>
        <c:idx val="13"/>
        <c:dLbl>
          <c:idx val="0"/>
          <c:showLegendKey val="0"/>
          <c:showVal val="1"/>
          <c:showCatName val="1"/>
          <c:showSerName val="0"/>
          <c:showPercent val="0"/>
          <c:showBubbleSize val="0"/>
          <c:extLst>
            <c:ext xmlns:c15="http://schemas.microsoft.com/office/drawing/2012/chart" uri="{CE6537A1-D6FC-4f65-9D91-7224C49458BB}"/>
          </c:extLst>
        </c:dLbl>
      </c:pivotFmt>
      <c:pivotFmt>
        <c:idx val="14"/>
        <c:dLbl>
          <c:idx val="0"/>
          <c:showLegendKey val="0"/>
          <c:showVal val="1"/>
          <c:showCatName val="1"/>
          <c:showSerName val="0"/>
          <c:showPercent val="0"/>
          <c:showBubbleSize val="0"/>
          <c:extLst>
            <c:ext xmlns:c15="http://schemas.microsoft.com/office/drawing/2012/chart" uri="{CE6537A1-D6FC-4f65-9D91-7224C49458BB}"/>
          </c:extLst>
        </c:dLbl>
      </c:pivotFmt>
      <c:pivotFmt>
        <c:idx val="15"/>
        <c:dLbl>
          <c:idx val="0"/>
          <c:showLegendKey val="0"/>
          <c:showVal val="1"/>
          <c:showCatName val="1"/>
          <c:showSerName val="0"/>
          <c:showPercent val="0"/>
          <c:showBubbleSize val="0"/>
          <c:extLst>
            <c:ext xmlns:c15="http://schemas.microsoft.com/office/drawing/2012/chart" uri="{CE6537A1-D6FC-4f65-9D91-7224C49458BB}"/>
          </c:extLst>
        </c:dLbl>
      </c:pivotFmt>
      <c:pivotFmt>
        <c:idx val="16"/>
        <c:dLbl>
          <c:idx val="0"/>
          <c:showLegendKey val="0"/>
          <c:showVal val="1"/>
          <c:showCatName val="1"/>
          <c:showSerName val="0"/>
          <c:showPercent val="0"/>
          <c:showBubbleSize val="0"/>
          <c:extLst>
            <c:ext xmlns:c15="http://schemas.microsoft.com/office/drawing/2012/chart" uri="{CE6537A1-D6FC-4f65-9D91-7224C49458BB}"/>
          </c:extLst>
        </c:dLbl>
      </c:pivotFmt>
      <c:pivotFmt>
        <c:idx val="17"/>
        <c:dLbl>
          <c:idx val="0"/>
          <c:showLegendKey val="0"/>
          <c:showVal val="1"/>
          <c:showCatName val="1"/>
          <c:showSerName val="0"/>
          <c:showPercent val="0"/>
          <c:showBubbleSize val="0"/>
          <c:extLst>
            <c:ext xmlns:c15="http://schemas.microsoft.com/office/drawing/2012/chart" uri="{CE6537A1-D6FC-4f65-9D91-7224C49458BB}"/>
          </c:extLst>
        </c:dLbl>
      </c:pivotFmt>
      <c:pivotFmt>
        <c:idx val="18"/>
        <c:dLbl>
          <c:idx val="0"/>
          <c:showLegendKey val="0"/>
          <c:showVal val="1"/>
          <c:showCatName val="1"/>
          <c:showSerName val="0"/>
          <c:showPercent val="0"/>
          <c:showBubbleSize val="0"/>
          <c:extLst>
            <c:ext xmlns:c15="http://schemas.microsoft.com/office/drawing/2012/chart" uri="{CE6537A1-D6FC-4f65-9D91-7224C49458BB}"/>
          </c:extLst>
        </c:dLbl>
      </c:pivotFmt>
      <c:pivotFmt>
        <c:idx val="19"/>
        <c:dLbl>
          <c:idx val="0"/>
          <c:showLegendKey val="0"/>
          <c:showVal val="1"/>
          <c:showCatName val="1"/>
          <c:showSerName val="0"/>
          <c:showPercent val="0"/>
          <c:showBubbleSize val="0"/>
          <c:extLst>
            <c:ext xmlns:c15="http://schemas.microsoft.com/office/drawing/2012/chart" uri="{CE6537A1-D6FC-4f65-9D91-7224C49458BB}"/>
          </c:extLst>
        </c:dLbl>
      </c:pivotFmt>
      <c:pivotFmt>
        <c:idx val="20"/>
        <c:dLbl>
          <c:idx val="0"/>
          <c:showLegendKey val="0"/>
          <c:showVal val="1"/>
          <c:showCatName val="1"/>
          <c:showSerName val="0"/>
          <c:showPercent val="0"/>
          <c:showBubbleSize val="0"/>
          <c:extLst>
            <c:ext xmlns:c15="http://schemas.microsoft.com/office/drawing/2012/chart" uri="{CE6537A1-D6FC-4f65-9D91-7224C49458BB}"/>
          </c:extLst>
        </c:dLbl>
      </c:pivotFmt>
      <c:pivotFmt>
        <c:idx val="21"/>
        <c:dLbl>
          <c:idx val="0"/>
          <c:showLegendKey val="0"/>
          <c:showVal val="1"/>
          <c:showCatName val="1"/>
          <c:showSerName val="0"/>
          <c:showPercent val="0"/>
          <c:showBubbleSize val="0"/>
          <c:extLst>
            <c:ext xmlns:c15="http://schemas.microsoft.com/office/drawing/2012/chart" uri="{CE6537A1-D6FC-4f65-9D91-7224C49458BB}"/>
          </c:extLst>
        </c:dLbl>
      </c:pivotFmt>
      <c:pivotFmt>
        <c:idx val="22"/>
        <c:dLbl>
          <c:idx val="0"/>
          <c:showLegendKey val="0"/>
          <c:showVal val="1"/>
          <c:showCatName val="1"/>
          <c:showSerName val="0"/>
          <c:showPercent val="0"/>
          <c:showBubbleSize val="0"/>
          <c:extLst>
            <c:ext xmlns:c15="http://schemas.microsoft.com/office/drawing/2012/chart" uri="{CE6537A1-D6FC-4f65-9D91-7224C49458BB}"/>
          </c:extLst>
        </c:dLbl>
      </c:pivotFmt>
      <c:pivotFmt>
        <c:idx val="23"/>
        <c:dLbl>
          <c:idx val="0"/>
          <c:showLegendKey val="0"/>
          <c:showVal val="1"/>
          <c:showCatName val="1"/>
          <c:showSerName val="0"/>
          <c:showPercent val="0"/>
          <c:showBubbleSize val="0"/>
          <c:extLst>
            <c:ext xmlns:c15="http://schemas.microsoft.com/office/drawing/2012/chart" uri="{CE6537A1-D6FC-4f65-9D91-7224C49458BB}"/>
          </c:extLst>
        </c:dLbl>
      </c:pivotFmt>
      <c:pivotFmt>
        <c:idx val="24"/>
        <c:dLbl>
          <c:idx val="0"/>
          <c:showLegendKey val="0"/>
          <c:showVal val="1"/>
          <c:showCatName val="1"/>
          <c:showSerName val="0"/>
          <c:showPercent val="0"/>
          <c:showBubbleSize val="0"/>
          <c:extLst>
            <c:ext xmlns:c15="http://schemas.microsoft.com/office/drawing/2012/chart" uri="{CE6537A1-D6FC-4f65-9D91-7224C49458BB}"/>
          </c:extLst>
        </c:dLbl>
      </c:pivotFmt>
      <c:pivotFmt>
        <c:idx val="25"/>
        <c:dLbl>
          <c:idx val="0"/>
          <c:showLegendKey val="0"/>
          <c:showVal val="1"/>
          <c:showCatName val="1"/>
          <c:showSerName val="0"/>
          <c:showPercent val="0"/>
          <c:showBubbleSize val="0"/>
          <c:extLst>
            <c:ext xmlns:c15="http://schemas.microsoft.com/office/drawing/2012/chart" uri="{CE6537A1-D6FC-4f65-9D91-7224C49458BB}"/>
          </c:extLst>
        </c:dLbl>
      </c:pivotFmt>
      <c:pivotFmt>
        <c:idx val="26"/>
        <c:dLbl>
          <c:idx val="0"/>
          <c:showLegendKey val="0"/>
          <c:showVal val="1"/>
          <c:showCatName val="1"/>
          <c:showSerName val="0"/>
          <c:showPercent val="0"/>
          <c:showBubbleSize val="0"/>
          <c:extLst>
            <c:ext xmlns:c15="http://schemas.microsoft.com/office/drawing/2012/chart" uri="{CE6537A1-D6FC-4f65-9D91-7224C49458BB}"/>
          </c:extLst>
        </c:dLbl>
      </c:pivotFmt>
      <c:pivotFmt>
        <c:idx val="27"/>
        <c:dLbl>
          <c:idx val="0"/>
          <c:showLegendKey val="0"/>
          <c:showVal val="1"/>
          <c:showCatName val="1"/>
          <c:showSerName val="0"/>
          <c:showPercent val="0"/>
          <c:showBubbleSize val="0"/>
          <c:extLst>
            <c:ext xmlns:c15="http://schemas.microsoft.com/office/drawing/2012/chart" uri="{CE6537A1-D6FC-4f65-9D91-7224C49458BB}"/>
          </c:extLst>
        </c:dLbl>
      </c:pivotFmt>
      <c:pivotFmt>
        <c:idx val="28"/>
        <c:dLbl>
          <c:idx val="0"/>
          <c:showLegendKey val="0"/>
          <c:showVal val="1"/>
          <c:showCatName val="1"/>
          <c:showSerName val="0"/>
          <c:showPercent val="0"/>
          <c:showBubbleSize val="0"/>
          <c:extLst>
            <c:ext xmlns:c15="http://schemas.microsoft.com/office/drawing/2012/chart" uri="{CE6537A1-D6FC-4f65-9D91-7224C49458BB}"/>
          </c:extLst>
        </c:dLbl>
      </c:pivotFmt>
      <c:pivotFmt>
        <c:idx val="29"/>
        <c:dLbl>
          <c:idx val="0"/>
          <c:showLegendKey val="0"/>
          <c:showVal val="1"/>
          <c:showCatName val="1"/>
          <c:showSerName val="0"/>
          <c:showPercent val="0"/>
          <c:showBubbleSize val="0"/>
          <c:extLst>
            <c:ext xmlns:c15="http://schemas.microsoft.com/office/drawing/2012/chart" uri="{CE6537A1-D6FC-4f65-9D91-7224C49458BB}"/>
          </c:extLst>
        </c:dLbl>
      </c:pivotFmt>
      <c:pivotFmt>
        <c:idx val="30"/>
        <c:dLbl>
          <c:idx val="0"/>
          <c:showLegendKey val="0"/>
          <c:showVal val="1"/>
          <c:showCatName val="1"/>
          <c:showSerName val="0"/>
          <c:showPercent val="0"/>
          <c:showBubbleSize val="0"/>
          <c:extLst>
            <c:ext xmlns:c15="http://schemas.microsoft.com/office/drawing/2012/chart" uri="{CE6537A1-D6FC-4f65-9D91-7224C49458BB}"/>
          </c:extLst>
        </c:dLbl>
      </c:pivotFmt>
      <c:pivotFmt>
        <c:idx val="31"/>
        <c:dLbl>
          <c:idx val="0"/>
          <c:showLegendKey val="0"/>
          <c:showVal val="1"/>
          <c:showCatName val="1"/>
          <c:showSerName val="0"/>
          <c:showPercent val="0"/>
          <c:showBubbleSize val="0"/>
          <c:extLst>
            <c:ext xmlns:c15="http://schemas.microsoft.com/office/drawing/2012/chart" uri="{CE6537A1-D6FC-4f65-9D91-7224C49458BB}"/>
          </c:extLst>
        </c:dLbl>
      </c:pivotFmt>
      <c:pivotFmt>
        <c:idx val="32"/>
        <c:dLbl>
          <c:idx val="0"/>
          <c:showLegendKey val="0"/>
          <c:showVal val="1"/>
          <c:showCatName val="1"/>
          <c:showSerName val="0"/>
          <c:showPercent val="0"/>
          <c:showBubbleSize val="0"/>
          <c:extLst>
            <c:ext xmlns:c15="http://schemas.microsoft.com/office/drawing/2012/chart" uri="{CE6537A1-D6FC-4f65-9D91-7224C49458BB}"/>
          </c:extLst>
        </c:dLbl>
      </c:pivotFmt>
      <c:pivotFmt>
        <c:idx val="33"/>
        <c:dLbl>
          <c:idx val="0"/>
          <c:showLegendKey val="0"/>
          <c:showVal val="1"/>
          <c:showCatName val="1"/>
          <c:showSerName val="0"/>
          <c:showPercent val="0"/>
          <c:showBubbleSize val="0"/>
          <c:extLst>
            <c:ext xmlns:c15="http://schemas.microsoft.com/office/drawing/2012/chart" uri="{CE6537A1-D6FC-4f65-9D91-7224C49458BB}"/>
          </c:extLst>
        </c:dLbl>
      </c:pivotFmt>
      <c:pivotFmt>
        <c:idx val="34"/>
        <c:dLbl>
          <c:idx val="0"/>
          <c:showLegendKey val="0"/>
          <c:showVal val="1"/>
          <c:showCatName val="1"/>
          <c:showSerName val="0"/>
          <c:showPercent val="0"/>
          <c:showBubbleSize val="0"/>
          <c:extLst>
            <c:ext xmlns:c15="http://schemas.microsoft.com/office/drawing/2012/chart" uri="{CE6537A1-D6FC-4f65-9D91-7224C49458BB}"/>
          </c:extLst>
        </c:dLbl>
      </c:pivotFmt>
      <c:pivotFmt>
        <c:idx val="35"/>
        <c:dLbl>
          <c:idx val="0"/>
          <c:showLegendKey val="0"/>
          <c:showVal val="1"/>
          <c:showCatName val="1"/>
          <c:showSerName val="0"/>
          <c:showPercent val="0"/>
          <c:showBubbleSize val="0"/>
          <c:extLst>
            <c:ext xmlns:c15="http://schemas.microsoft.com/office/drawing/2012/chart" uri="{CE6537A1-D6FC-4f65-9D91-7224C49458BB}"/>
          </c:extLst>
        </c:dLbl>
      </c:pivotFmt>
      <c:pivotFmt>
        <c:idx val="36"/>
        <c:dLbl>
          <c:idx val="0"/>
          <c:showLegendKey val="0"/>
          <c:showVal val="1"/>
          <c:showCatName val="1"/>
          <c:showSerName val="0"/>
          <c:showPercent val="0"/>
          <c:showBubbleSize val="0"/>
          <c:extLst>
            <c:ext xmlns:c15="http://schemas.microsoft.com/office/drawing/2012/chart" uri="{CE6537A1-D6FC-4f65-9D91-7224C49458BB}"/>
          </c:extLst>
        </c:dLbl>
      </c:pivotFmt>
      <c:pivotFmt>
        <c:idx val="37"/>
        <c:dLbl>
          <c:idx val="0"/>
          <c:showLegendKey val="0"/>
          <c:showVal val="1"/>
          <c:showCatName val="1"/>
          <c:showSerName val="0"/>
          <c:showPercent val="0"/>
          <c:showBubbleSize val="0"/>
          <c:extLst>
            <c:ext xmlns:c15="http://schemas.microsoft.com/office/drawing/2012/chart" uri="{CE6537A1-D6FC-4f65-9D91-7224C49458BB}"/>
          </c:extLst>
        </c:dLbl>
      </c:pivotFmt>
      <c:pivotFmt>
        <c:idx val="38"/>
        <c:dLbl>
          <c:idx val="0"/>
          <c:showLegendKey val="0"/>
          <c:showVal val="1"/>
          <c:showCatName val="1"/>
          <c:showSerName val="0"/>
          <c:showPercent val="0"/>
          <c:showBubbleSize val="0"/>
          <c:extLst>
            <c:ext xmlns:c15="http://schemas.microsoft.com/office/drawing/2012/chart" uri="{CE6537A1-D6FC-4f65-9D91-7224C49458BB}"/>
          </c:extLst>
        </c:dLbl>
      </c:pivotFmt>
      <c:pivotFmt>
        <c:idx val="39"/>
        <c:dLbl>
          <c:idx val="0"/>
          <c:showLegendKey val="0"/>
          <c:showVal val="1"/>
          <c:showCatName val="1"/>
          <c:showSerName val="0"/>
          <c:showPercent val="0"/>
          <c:showBubbleSize val="0"/>
          <c:extLst>
            <c:ext xmlns:c15="http://schemas.microsoft.com/office/drawing/2012/chart" uri="{CE6537A1-D6FC-4f65-9D91-7224C49458BB}"/>
          </c:extLst>
        </c:dLbl>
      </c:pivotFmt>
      <c:pivotFmt>
        <c:idx val="40"/>
        <c:dLbl>
          <c:idx val="0"/>
          <c:showLegendKey val="0"/>
          <c:showVal val="1"/>
          <c:showCatName val="1"/>
          <c:showSerName val="0"/>
          <c:showPercent val="0"/>
          <c:showBubbleSize val="0"/>
          <c:extLst>
            <c:ext xmlns:c15="http://schemas.microsoft.com/office/drawing/2012/chart" uri="{CE6537A1-D6FC-4f65-9D91-7224C49458BB}"/>
          </c:extLst>
        </c:dLbl>
      </c:pivotFmt>
      <c:pivotFmt>
        <c:idx val="41"/>
        <c:dLbl>
          <c:idx val="0"/>
          <c:showLegendKey val="0"/>
          <c:showVal val="1"/>
          <c:showCatName val="1"/>
          <c:showSerName val="0"/>
          <c:showPercent val="0"/>
          <c:showBubbleSize val="0"/>
          <c:extLst>
            <c:ext xmlns:c15="http://schemas.microsoft.com/office/drawing/2012/chart" uri="{CE6537A1-D6FC-4f65-9D91-7224C49458BB}"/>
          </c:extLst>
        </c:dLbl>
      </c:pivotFmt>
      <c:pivotFmt>
        <c:idx val="42"/>
        <c:dLbl>
          <c:idx val="0"/>
          <c:showLegendKey val="0"/>
          <c:showVal val="1"/>
          <c:showCatName val="1"/>
          <c:showSerName val="0"/>
          <c:showPercent val="0"/>
          <c:showBubbleSize val="0"/>
          <c:extLst>
            <c:ext xmlns:c15="http://schemas.microsoft.com/office/drawing/2012/chart" uri="{CE6537A1-D6FC-4f65-9D91-7224C49458BB}"/>
          </c:extLst>
        </c:dLbl>
      </c:pivotFmt>
      <c:pivotFmt>
        <c:idx val="43"/>
        <c:dLbl>
          <c:idx val="0"/>
          <c:showLegendKey val="0"/>
          <c:showVal val="1"/>
          <c:showCatName val="1"/>
          <c:showSerName val="0"/>
          <c:showPercent val="0"/>
          <c:showBubbleSize val="0"/>
          <c:extLst>
            <c:ext xmlns:c15="http://schemas.microsoft.com/office/drawing/2012/chart" uri="{CE6537A1-D6FC-4f65-9D91-7224C49458BB}"/>
          </c:extLst>
        </c:dLbl>
      </c:pivotFmt>
      <c:pivotFmt>
        <c:idx val="44"/>
        <c:dLbl>
          <c:idx val="0"/>
          <c:showLegendKey val="0"/>
          <c:showVal val="1"/>
          <c:showCatName val="1"/>
          <c:showSerName val="0"/>
          <c:showPercent val="0"/>
          <c:showBubbleSize val="0"/>
          <c:extLst>
            <c:ext xmlns:c15="http://schemas.microsoft.com/office/drawing/2012/chart" uri="{CE6537A1-D6FC-4f65-9D91-7224C49458BB}"/>
          </c:extLst>
        </c:dLbl>
      </c:pivotFmt>
      <c:pivotFmt>
        <c:idx val="45"/>
        <c:dLbl>
          <c:idx val="0"/>
          <c:showLegendKey val="0"/>
          <c:showVal val="1"/>
          <c:showCatName val="1"/>
          <c:showSerName val="0"/>
          <c:showPercent val="0"/>
          <c:showBubbleSize val="0"/>
          <c:extLst>
            <c:ext xmlns:c15="http://schemas.microsoft.com/office/drawing/2012/chart" uri="{CE6537A1-D6FC-4f65-9D91-7224C49458BB}"/>
          </c:extLst>
        </c:dLbl>
      </c:pivotFmt>
      <c:pivotFmt>
        <c:idx val="46"/>
        <c:dLbl>
          <c:idx val="0"/>
          <c:showLegendKey val="0"/>
          <c:showVal val="1"/>
          <c:showCatName val="1"/>
          <c:showSerName val="0"/>
          <c:showPercent val="0"/>
          <c:showBubbleSize val="0"/>
          <c:extLst>
            <c:ext xmlns:c15="http://schemas.microsoft.com/office/drawing/2012/chart" uri="{CE6537A1-D6FC-4f65-9D91-7224C49458BB}"/>
          </c:extLst>
        </c:dLbl>
      </c:pivotFmt>
      <c:pivotFmt>
        <c:idx val="47"/>
        <c:dLbl>
          <c:idx val="0"/>
          <c:showLegendKey val="0"/>
          <c:showVal val="1"/>
          <c:showCatName val="1"/>
          <c:showSerName val="0"/>
          <c:showPercent val="0"/>
          <c:showBubbleSize val="0"/>
          <c:extLst>
            <c:ext xmlns:c15="http://schemas.microsoft.com/office/drawing/2012/chart" uri="{CE6537A1-D6FC-4f65-9D91-7224C49458BB}"/>
          </c:extLst>
        </c:dLbl>
      </c:pivotFmt>
      <c:pivotFmt>
        <c:idx val="48"/>
        <c:dLbl>
          <c:idx val="0"/>
          <c:showLegendKey val="0"/>
          <c:showVal val="1"/>
          <c:showCatName val="1"/>
          <c:showSerName val="0"/>
          <c:showPercent val="0"/>
          <c:showBubbleSize val="0"/>
          <c:extLst>
            <c:ext xmlns:c15="http://schemas.microsoft.com/office/drawing/2012/chart" uri="{CE6537A1-D6FC-4f65-9D91-7224C49458BB}"/>
          </c:extLst>
        </c:dLbl>
      </c:pivotFmt>
      <c:pivotFmt>
        <c:idx val="49"/>
        <c:dLbl>
          <c:idx val="0"/>
          <c:showLegendKey val="0"/>
          <c:showVal val="1"/>
          <c:showCatName val="1"/>
          <c:showSerName val="0"/>
          <c:showPercent val="0"/>
          <c:showBubbleSize val="0"/>
          <c:extLst>
            <c:ext xmlns:c15="http://schemas.microsoft.com/office/drawing/2012/chart" uri="{CE6537A1-D6FC-4f65-9D91-7224C49458BB}"/>
          </c:extLst>
        </c:dLbl>
      </c:pivotFmt>
      <c:pivotFmt>
        <c:idx val="50"/>
        <c:dLbl>
          <c:idx val="0"/>
          <c:showLegendKey val="0"/>
          <c:showVal val="1"/>
          <c:showCatName val="1"/>
          <c:showSerName val="0"/>
          <c:showPercent val="0"/>
          <c:showBubbleSize val="0"/>
          <c:extLst>
            <c:ext xmlns:c15="http://schemas.microsoft.com/office/drawing/2012/chart" uri="{CE6537A1-D6FC-4f65-9D91-7224C49458BB}"/>
          </c:extLst>
        </c:dLbl>
      </c:pivotFmt>
      <c:pivotFmt>
        <c:idx val="51"/>
        <c:dLbl>
          <c:idx val="0"/>
          <c:showLegendKey val="0"/>
          <c:showVal val="1"/>
          <c:showCatName val="1"/>
          <c:showSerName val="0"/>
          <c:showPercent val="0"/>
          <c:showBubbleSize val="0"/>
          <c:extLst>
            <c:ext xmlns:c15="http://schemas.microsoft.com/office/drawing/2012/chart" uri="{CE6537A1-D6FC-4f65-9D91-7224C49458BB}"/>
          </c:extLst>
        </c:dLbl>
      </c:pivotFmt>
      <c:pivotFmt>
        <c:idx val="52"/>
        <c:dLbl>
          <c:idx val="0"/>
          <c:layout>
            <c:manualLayout>
              <c:x val="6.0052076823730365E-2"/>
              <c:y val="-0.2999074074074074"/>
            </c:manualLayout>
          </c:layout>
          <c:showLegendKey val="0"/>
          <c:showVal val="1"/>
          <c:showCatName val="1"/>
          <c:showSerName val="0"/>
          <c:showPercent val="0"/>
          <c:showBubbleSize val="0"/>
          <c:extLst>
            <c:ext xmlns:c15="http://schemas.microsoft.com/office/drawing/2012/chart" uri="{CE6537A1-D6FC-4f65-9D91-7224C49458BB}"/>
          </c:extLst>
        </c:dLbl>
      </c:pivotFmt>
      <c:pivotFmt>
        <c:idx val="53"/>
        <c:dLbl>
          <c:idx val="0"/>
          <c:layout>
            <c:manualLayout>
              <c:x val="-0.14095257887485471"/>
              <c:y val="0.19619376525302754"/>
            </c:manualLayout>
          </c:layout>
          <c:showLegendKey val="0"/>
          <c:showVal val="1"/>
          <c:showCatName val="1"/>
          <c:showSerName val="0"/>
          <c:showPercent val="0"/>
          <c:showBubbleSize val="0"/>
          <c:extLst>
            <c:ext xmlns:c15="http://schemas.microsoft.com/office/drawing/2012/chart" uri="{CE6537A1-D6FC-4f65-9D91-7224C49458BB}"/>
          </c:extLst>
        </c:dLbl>
      </c:pivotFmt>
      <c:pivotFmt>
        <c:idx val="54"/>
        <c:dLbl>
          <c:idx val="0"/>
          <c:showLegendKey val="0"/>
          <c:showVal val="1"/>
          <c:showCatName val="1"/>
          <c:showSerName val="0"/>
          <c:showPercent val="0"/>
          <c:showBubbleSize val="0"/>
          <c:extLst>
            <c:ext xmlns:c15="http://schemas.microsoft.com/office/drawing/2012/chart" uri="{CE6537A1-D6FC-4f65-9D91-7224C49458BB}"/>
          </c:extLst>
        </c:dLbl>
      </c:pivotFmt>
      <c:pivotFmt>
        <c:idx val="55"/>
        <c:dLbl>
          <c:idx val="0"/>
          <c:showLegendKey val="0"/>
          <c:showVal val="1"/>
          <c:showCatName val="1"/>
          <c:showSerName val="0"/>
          <c:showPercent val="0"/>
          <c:showBubbleSize val="0"/>
          <c:extLst>
            <c:ext xmlns:c15="http://schemas.microsoft.com/office/drawing/2012/chart" uri="{CE6537A1-D6FC-4f65-9D91-7224C49458BB}"/>
          </c:extLst>
        </c:dLbl>
      </c:pivotFmt>
      <c:pivotFmt>
        <c:idx val="56"/>
        <c:dLbl>
          <c:idx val="0"/>
          <c:showLegendKey val="0"/>
          <c:showVal val="1"/>
          <c:showCatName val="1"/>
          <c:showSerName val="0"/>
          <c:showPercent val="0"/>
          <c:showBubbleSize val="0"/>
          <c:extLst>
            <c:ext xmlns:c15="http://schemas.microsoft.com/office/drawing/2012/chart" uri="{CE6537A1-D6FC-4f65-9D91-7224C49458BB}"/>
          </c:extLst>
        </c:dLbl>
      </c:pivotFmt>
      <c:pivotFmt>
        <c:idx val="57"/>
        <c:dLbl>
          <c:idx val="0"/>
          <c:showLegendKey val="0"/>
          <c:showVal val="1"/>
          <c:showCatName val="1"/>
          <c:showSerName val="0"/>
          <c:showPercent val="0"/>
          <c:showBubbleSize val="0"/>
          <c:extLst>
            <c:ext xmlns:c15="http://schemas.microsoft.com/office/drawing/2012/chart" uri="{CE6537A1-D6FC-4f65-9D91-7224C49458BB}"/>
          </c:extLst>
        </c:dLbl>
      </c:pivotFmt>
      <c:pivotFmt>
        <c:idx val="58"/>
        <c:dLbl>
          <c:idx val="0"/>
          <c:showLegendKey val="0"/>
          <c:showVal val="1"/>
          <c:showCatName val="1"/>
          <c:showSerName val="0"/>
          <c:showPercent val="0"/>
          <c:showBubbleSize val="0"/>
          <c:extLst>
            <c:ext xmlns:c15="http://schemas.microsoft.com/office/drawing/2012/chart" uri="{CE6537A1-D6FC-4f65-9D91-7224C49458BB}"/>
          </c:extLst>
        </c:dLbl>
      </c:pivotFmt>
      <c:pivotFmt>
        <c:idx val="59"/>
        <c:dLbl>
          <c:idx val="0"/>
          <c:showLegendKey val="0"/>
          <c:showVal val="1"/>
          <c:showCatName val="1"/>
          <c:showSerName val="0"/>
          <c:showPercent val="0"/>
          <c:showBubbleSize val="0"/>
          <c:extLst>
            <c:ext xmlns:c15="http://schemas.microsoft.com/office/drawing/2012/chart" uri="{CE6537A1-D6FC-4f65-9D91-7224C49458BB}"/>
          </c:extLst>
        </c:dLbl>
      </c:pivotFmt>
      <c:pivotFmt>
        <c:idx val="60"/>
        <c:dLbl>
          <c:idx val="0"/>
          <c:showLegendKey val="0"/>
          <c:showVal val="1"/>
          <c:showCatName val="1"/>
          <c:showSerName val="0"/>
          <c:showPercent val="0"/>
          <c:showBubbleSize val="0"/>
          <c:extLst>
            <c:ext xmlns:c15="http://schemas.microsoft.com/office/drawing/2012/chart" uri="{CE6537A1-D6FC-4f65-9D91-7224C49458BB}"/>
          </c:extLst>
        </c:dLbl>
      </c:pivotFmt>
      <c:pivotFmt>
        <c:idx val="61"/>
        <c:dLbl>
          <c:idx val="0"/>
          <c:showLegendKey val="0"/>
          <c:showVal val="1"/>
          <c:showCatName val="1"/>
          <c:showSerName val="0"/>
          <c:showPercent val="0"/>
          <c:showBubbleSize val="0"/>
          <c:extLst>
            <c:ext xmlns:c15="http://schemas.microsoft.com/office/drawing/2012/chart" uri="{CE6537A1-D6FC-4f65-9D91-7224C49458BB}"/>
          </c:extLst>
        </c:dLbl>
      </c:pivotFmt>
      <c:pivotFmt>
        <c:idx val="62"/>
        <c:dLbl>
          <c:idx val="0"/>
          <c:showLegendKey val="0"/>
          <c:showVal val="1"/>
          <c:showCatName val="1"/>
          <c:showSerName val="0"/>
          <c:showPercent val="0"/>
          <c:showBubbleSize val="0"/>
          <c:extLst>
            <c:ext xmlns:c15="http://schemas.microsoft.com/office/drawing/2012/chart" uri="{CE6537A1-D6FC-4f65-9D91-7224C49458BB}"/>
          </c:extLst>
        </c:dLbl>
      </c:pivotFmt>
      <c:pivotFmt>
        <c:idx val="63"/>
        <c:dLbl>
          <c:idx val="0"/>
          <c:showLegendKey val="0"/>
          <c:showVal val="1"/>
          <c:showCatName val="1"/>
          <c:showSerName val="0"/>
          <c:showPercent val="0"/>
          <c:showBubbleSize val="0"/>
          <c:extLst>
            <c:ext xmlns:c15="http://schemas.microsoft.com/office/drawing/2012/chart" uri="{CE6537A1-D6FC-4f65-9D91-7224C49458BB}"/>
          </c:extLst>
        </c:dLbl>
      </c:pivotFmt>
      <c:pivotFmt>
        <c:idx val="64"/>
        <c:dLbl>
          <c:idx val="0"/>
          <c:showLegendKey val="0"/>
          <c:showVal val="1"/>
          <c:showCatName val="1"/>
          <c:showSerName val="0"/>
          <c:showPercent val="0"/>
          <c:showBubbleSize val="0"/>
          <c:extLst>
            <c:ext xmlns:c15="http://schemas.microsoft.com/office/drawing/2012/chart" uri="{CE6537A1-D6FC-4f65-9D91-7224C49458BB}"/>
          </c:extLst>
        </c:dLbl>
      </c:pivotFmt>
      <c:pivotFmt>
        <c:idx val="65"/>
        <c:dLbl>
          <c:idx val="0"/>
          <c:showLegendKey val="0"/>
          <c:showVal val="1"/>
          <c:showCatName val="1"/>
          <c:showSerName val="0"/>
          <c:showPercent val="0"/>
          <c:showBubbleSize val="0"/>
          <c:extLst>
            <c:ext xmlns:c15="http://schemas.microsoft.com/office/drawing/2012/chart" uri="{CE6537A1-D6FC-4f65-9D91-7224C49458BB}"/>
          </c:extLst>
        </c:dLbl>
      </c:pivotFmt>
      <c:pivotFmt>
        <c:idx val="66"/>
        <c:dLbl>
          <c:idx val="0"/>
          <c:showLegendKey val="0"/>
          <c:showVal val="1"/>
          <c:showCatName val="1"/>
          <c:showSerName val="0"/>
          <c:showPercent val="0"/>
          <c:showBubbleSize val="0"/>
          <c:extLst>
            <c:ext xmlns:c15="http://schemas.microsoft.com/office/drawing/2012/chart" uri="{CE6537A1-D6FC-4f65-9D91-7224C49458BB}"/>
          </c:extLst>
        </c:dLbl>
      </c:pivotFmt>
      <c:pivotFmt>
        <c:idx val="67"/>
        <c:dLbl>
          <c:idx val="0"/>
          <c:showLegendKey val="0"/>
          <c:showVal val="1"/>
          <c:showCatName val="1"/>
          <c:showSerName val="0"/>
          <c:showPercent val="0"/>
          <c:showBubbleSize val="0"/>
          <c:extLst>
            <c:ext xmlns:c15="http://schemas.microsoft.com/office/drawing/2012/chart" uri="{CE6537A1-D6FC-4f65-9D91-7224C49458BB}"/>
          </c:extLst>
        </c:dLbl>
      </c:pivotFmt>
      <c:pivotFmt>
        <c:idx val="68"/>
        <c:dLbl>
          <c:idx val="0"/>
          <c:showLegendKey val="0"/>
          <c:showVal val="1"/>
          <c:showCatName val="1"/>
          <c:showSerName val="0"/>
          <c:showPercent val="0"/>
          <c:showBubbleSize val="0"/>
          <c:extLst>
            <c:ext xmlns:c15="http://schemas.microsoft.com/office/drawing/2012/chart" uri="{CE6537A1-D6FC-4f65-9D91-7224C49458BB}"/>
          </c:extLst>
        </c:dLbl>
      </c:pivotFmt>
      <c:pivotFmt>
        <c:idx val="69"/>
        <c:dLbl>
          <c:idx val="0"/>
          <c:showLegendKey val="0"/>
          <c:showVal val="1"/>
          <c:showCatName val="1"/>
          <c:showSerName val="0"/>
          <c:showPercent val="0"/>
          <c:showBubbleSize val="0"/>
          <c:extLst>
            <c:ext xmlns:c15="http://schemas.microsoft.com/office/drawing/2012/chart" uri="{CE6537A1-D6FC-4f65-9D91-7224C49458BB}"/>
          </c:extLst>
        </c:dLbl>
      </c:pivotFmt>
      <c:pivotFmt>
        <c:idx val="70"/>
        <c:dLbl>
          <c:idx val="0"/>
          <c:showLegendKey val="0"/>
          <c:showVal val="1"/>
          <c:showCatName val="1"/>
          <c:showSerName val="0"/>
          <c:showPercent val="0"/>
          <c:showBubbleSize val="0"/>
          <c:extLst>
            <c:ext xmlns:c15="http://schemas.microsoft.com/office/drawing/2012/chart" uri="{CE6537A1-D6FC-4f65-9D91-7224C49458BB}"/>
          </c:extLst>
        </c:dLbl>
      </c:pivotFmt>
      <c:pivotFmt>
        <c:idx val="71"/>
        <c:dLbl>
          <c:idx val="0"/>
          <c:showLegendKey val="0"/>
          <c:showVal val="1"/>
          <c:showCatName val="1"/>
          <c:showSerName val="0"/>
          <c:showPercent val="0"/>
          <c:showBubbleSize val="0"/>
          <c:extLst>
            <c:ext xmlns:c15="http://schemas.microsoft.com/office/drawing/2012/chart" uri="{CE6537A1-D6FC-4f65-9D91-7224C49458BB}"/>
          </c:extLst>
        </c:dLbl>
      </c:pivotFmt>
      <c:pivotFmt>
        <c:idx val="72"/>
        <c:dLbl>
          <c:idx val="0"/>
          <c:showLegendKey val="0"/>
          <c:showVal val="1"/>
          <c:showCatName val="1"/>
          <c:showSerName val="0"/>
          <c:showPercent val="0"/>
          <c:showBubbleSize val="0"/>
          <c:extLst>
            <c:ext xmlns:c15="http://schemas.microsoft.com/office/drawing/2012/chart" uri="{CE6537A1-D6FC-4f65-9D91-7224C49458BB}"/>
          </c:extLst>
        </c:dLbl>
      </c:pivotFmt>
      <c:pivotFmt>
        <c:idx val="73"/>
        <c:dLbl>
          <c:idx val="0"/>
          <c:showLegendKey val="0"/>
          <c:showVal val="1"/>
          <c:showCatName val="1"/>
          <c:showSerName val="0"/>
          <c:showPercent val="0"/>
          <c:showBubbleSize val="0"/>
          <c:extLst>
            <c:ext xmlns:c15="http://schemas.microsoft.com/office/drawing/2012/chart" uri="{CE6537A1-D6FC-4f65-9D91-7224C49458BB}"/>
          </c:extLst>
        </c:dLbl>
      </c:pivotFmt>
      <c:pivotFmt>
        <c:idx val="74"/>
        <c:dLbl>
          <c:idx val="0"/>
          <c:showLegendKey val="0"/>
          <c:showVal val="1"/>
          <c:showCatName val="1"/>
          <c:showSerName val="0"/>
          <c:showPercent val="0"/>
          <c:showBubbleSize val="0"/>
          <c:extLst>
            <c:ext xmlns:c15="http://schemas.microsoft.com/office/drawing/2012/chart" uri="{CE6537A1-D6FC-4f65-9D91-7224C49458BB}"/>
          </c:extLst>
        </c:dLbl>
      </c:pivotFmt>
      <c:pivotFmt>
        <c:idx val="75"/>
        <c:dLbl>
          <c:idx val="0"/>
          <c:showLegendKey val="0"/>
          <c:showVal val="1"/>
          <c:showCatName val="1"/>
          <c:showSerName val="0"/>
          <c:showPercent val="0"/>
          <c:showBubbleSize val="0"/>
          <c:extLst>
            <c:ext xmlns:c15="http://schemas.microsoft.com/office/drawing/2012/chart" uri="{CE6537A1-D6FC-4f65-9D91-7224C49458BB}"/>
          </c:extLst>
        </c:dLbl>
      </c:pivotFmt>
      <c:pivotFmt>
        <c:idx val="76"/>
        <c:dLbl>
          <c:idx val="0"/>
          <c:showLegendKey val="0"/>
          <c:showVal val="1"/>
          <c:showCatName val="1"/>
          <c:showSerName val="0"/>
          <c:showPercent val="0"/>
          <c:showBubbleSize val="0"/>
          <c:extLst>
            <c:ext xmlns:c15="http://schemas.microsoft.com/office/drawing/2012/chart" uri="{CE6537A1-D6FC-4f65-9D91-7224C49458BB}"/>
          </c:extLst>
        </c:dLbl>
      </c:pivotFmt>
      <c:pivotFmt>
        <c:idx val="77"/>
        <c:dLbl>
          <c:idx val="0"/>
          <c:showLegendKey val="0"/>
          <c:showVal val="1"/>
          <c:showCatName val="1"/>
          <c:showSerName val="0"/>
          <c:showPercent val="0"/>
          <c:showBubbleSize val="0"/>
          <c:extLst>
            <c:ext xmlns:c15="http://schemas.microsoft.com/office/drawing/2012/chart" uri="{CE6537A1-D6FC-4f65-9D91-7224C49458BB}"/>
          </c:extLst>
        </c:dLbl>
      </c:pivotFmt>
      <c:pivotFmt>
        <c:idx val="78"/>
        <c:dLbl>
          <c:idx val="0"/>
          <c:showLegendKey val="0"/>
          <c:showVal val="1"/>
          <c:showCatName val="1"/>
          <c:showSerName val="0"/>
          <c:showPercent val="0"/>
          <c:showBubbleSize val="0"/>
          <c:extLst>
            <c:ext xmlns:c15="http://schemas.microsoft.com/office/drawing/2012/chart" uri="{CE6537A1-D6FC-4f65-9D91-7224C49458BB}"/>
          </c:extLst>
        </c:dLbl>
      </c:pivotFmt>
      <c:pivotFmt>
        <c:idx val="79"/>
        <c:dLbl>
          <c:idx val="0"/>
          <c:showLegendKey val="0"/>
          <c:showVal val="1"/>
          <c:showCatName val="1"/>
          <c:showSerName val="0"/>
          <c:showPercent val="0"/>
          <c:showBubbleSize val="0"/>
          <c:extLst>
            <c:ext xmlns:c15="http://schemas.microsoft.com/office/drawing/2012/chart" uri="{CE6537A1-D6FC-4f65-9D91-7224C49458BB}"/>
          </c:extLst>
        </c:dLbl>
      </c:pivotFmt>
      <c:pivotFmt>
        <c:idx val="80"/>
        <c:dLbl>
          <c:idx val="0"/>
          <c:showLegendKey val="0"/>
          <c:showVal val="1"/>
          <c:showCatName val="1"/>
          <c:showSerName val="0"/>
          <c:showPercent val="0"/>
          <c:showBubbleSize val="0"/>
          <c:extLst>
            <c:ext xmlns:c15="http://schemas.microsoft.com/office/drawing/2012/chart" uri="{CE6537A1-D6FC-4f65-9D91-7224C49458BB}"/>
          </c:extLst>
        </c:dLbl>
      </c:pivotFmt>
      <c:pivotFmt>
        <c:idx val="81"/>
        <c:dLbl>
          <c:idx val="0"/>
          <c:showLegendKey val="0"/>
          <c:showVal val="1"/>
          <c:showCatName val="1"/>
          <c:showSerName val="0"/>
          <c:showPercent val="0"/>
          <c:showBubbleSize val="0"/>
          <c:extLst>
            <c:ext xmlns:c15="http://schemas.microsoft.com/office/drawing/2012/chart" uri="{CE6537A1-D6FC-4f65-9D91-7224C49458BB}"/>
          </c:extLst>
        </c:dLbl>
      </c:pivotFmt>
      <c:pivotFmt>
        <c:idx val="82"/>
        <c:dLbl>
          <c:idx val="0"/>
          <c:showLegendKey val="0"/>
          <c:showVal val="1"/>
          <c:showCatName val="1"/>
          <c:showSerName val="0"/>
          <c:showPercent val="0"/>
          <c:showBubbleSize val="0"/>
          <c:extLst>
            <c:ext xmlns:c15="http://schemas.microsoft.com/office/drawing/2012/chart" uri="{CE6537A1-D6FC-4f65-9D91-7224C49458BB}"/>
          </c:extLst>
        </c:dLbl>
      </c:pivotFmt>
      <c:pivotFmt>
        <c:idx val="83"/>
        <c:dLbl>
          <c:idx val="0"/>
          <c:showLegendKey val="0"/>
          <c:showVal val="1"/>
          <c:showCatName val="1"/>
          <c:showSerName val="0"/>
          <c:showPercent val="0"/>
          <c:showBubbleSize val="0"/>
          <c:extLst>
            <c:ext xmlns:c15="http://schemas.microsoft.com/office/drawing/2012/chart" uri="{CE6537A1-D6FC-4f65-9D91-7224C49458BB}"/>
          </c:extLst>
        </c:dLbl>
      </c:pivotFmt>
      <c:pivotFmt>
        <c:idx val="84"/>
        <c:dLbl>
          <c:idx val="0"/>
          <c:showLegendKey val="0"/>
          <c:showVal val="1"/>
          <c:showCatName val="1"/>
          <c:showSerName val="0"/>
          <c:showPercent val="0"/>
          <c:showBubbleSize val="0"/>
          <c:extLst>
            <c:ext xmlns:c15="http://schemas.microsoft.com/office/drawing/2012/chart" uri="{CE6537A1-D6FC-4f65-9D91-7224C49458BB}"/>
          </c:extLst>
        </c:dLbl>
      </c:pivotFmt>
      <c:pivotFmt>
        <c:idx val="85"/>
        <c:dLbl>
          <c:idx val="0"/>
          <c:showLegendKey val="0"/>
          <c:showVal val="1"/>
          <c:showCatName val="1"/>
          <c:showSerName val="0"/>
          <c:showPercent val="0"/>
          <c:showBubbleSize val="0"/>
          <c:extLst>
            <c:ext xmlns:c15="http://schemas.microsoft.com/office/drawing/2012/chart" uri="{CE6537A1-D6FC-4f65-9D91-7224C49458BB}"/>
          </c:extLst>
        </c:dLbl>
      </c:pivotFmt>
      <c:pivotFmt>
        <c:idx val="86"/>
        <c:dLbl>
          <c:idx val="0"/>
          <c:showLegendKey val="0"/>
          <c:showVal val="1"/>
          <c:showCatName val="1"/>
          <c:showSerName val="0"/>
          <c:showPercent val="0"/>
          <c:showBubbleSize val="0"/>
          <c:extLst>
            <c:ext xmlns:c15="http://schemas.microsoft.com/office/drawing/2012/chart" uri="{CE6537A1-D6FC-4f65-9D91-7224C49458BB}"/>
          </c:extLst>
        </c:dLbl>
      </c:pivotFmt>
      <c:pivotFmt>
        <c:idx val="87"/>
        <c:dLbl>
          <c:idx val="0"/>
          <c:showLegendKey val="0"/>
          <c:showVal val="1"/>
          <c:showCatName val="1"/>
          <c:showSerName val="0"/>
          <c:showPercent val="0"/>
          <c:showBubbleSize val="0"/>
          <c:extLst>
            <c:ext xmlns:c15="http://schemas.microsoft.com/office/drawing/2012/chart" uri="{CE6537A1-D6FC-4f65-9D91-7224C49458BB}"/>
          </c:extLst>
        </c:dLbl>
      </c:pivotFmt>
      <c:pivotFmt>
        <c:idx val="88"/>
        <c:dLbl>
          <c:idx val="0"/>
          <c:showLegendKey val="0"/>
          <c:showVal val="1"/>
          <c:showCatName val="1"/>
          <c:showSerName val="0"/>
          <c:showPercent val="0"/>
          <c:showBubbleSize val="0"/>
          <c:extLst>
            <c:ext xmlns:c15="http://schemas.microsoft.com/office/drawing/2012/chart" uri="{CE6537A1-D6FC-4f65-9D91-7224C49458BB}"/>
          </c:extLst>
        </c:dLbl>
      </c:pivotFmt>
      <c:pivotFmt>
        <c:idx val="89"/>
        <c:dLbl>
          <c:idx val="0"/>
          <c:showLegendKey val="0"/>
          <c:showVal val="1"/>
          <c:showCatName val="1"/>
          <c:showSerName val="0"/>
          <c:showPercent val="0"/>
          <c:showBubbleSize val="0"/>
          <c:extLst>
            <c:ext xmlns:c15="http://schemas.microsoft.com/office/drawing/2012/chart" uri="{CE6537A1-D6FC-4f65-9D91-7224C49458BB}"/>
          </c:extLst>
        </c:dLbl>
      </c:pivotFmt>
      <c:pivotFmt>
        <c:idx val="90"/>
        <c:dLbl>
          <c:idx val="0"/>
          <c:showLegendKey val="0"/>
          <c:showVal val="1"/>
          <c:showCatName val="1"/>
          <c:showSerName val="0"/>
          <c:showPercent val="0"/>
          <c:showBubbleSize val="0"/>
          <c:extLst>
            <c:ext xmlns:c15="http://schemas.microsoft.com/office/drawing/2012/chart" uri="{CE6537A1-D6FC-4f65-9D91-7224C49458BB}"/>
          </c:extLst>
        </c:dLbl>
      </c:pivotFmt>
      <c:pivotFmt>
        <c:idx val="91"/>
        <c:dLbl>
          <c:idx val="0"/>
          <c:showLegendKey val="0"/>
          <c:showVal val="1"/>
          <c:showCatName val="1"/>
          <c:showSerName val="0"/>
          <c:showPercent val="0"/>
          <c:showBubbleSize val="0"/>
          <c:extLst>
            <c:ext xmlns:c15="http://schemas.microsoft.com/office/drawing/2012/chart" uri="{CE6537A1-D6FC-4f65-9D91-7224C49458BB}"/>
          </c:extLst>
        </c:dLbl>
      </c:pivotFmt>
      <c:pivotFmt>
        <c:idx val="92"/>
        <c:dLbl>
          <c:idx val="0"/>
          <c:showLegendKey val="0"/>
          <c:showVal val="1"/>
          <c:showCatName val="1"/>
          <c:showSerName val="0"/>
          <c:showPercent val="0"/>
          <c:showBubbleSize val="0"/>
          <c:extLst>
            <c:ext xmlns:c15="http://schemas.microsoft.com/office/drawing/2012/chart" uri="{CE6537A1-D6FC-4f65-9D91-7224C49458BB}"/>
          </c:extLst>
        </c:dLbl>
      </c:pivotFmt>
      <c:pivotFmt>
        <c:idx val="93"/>
        <c:dLbl>
          <c:idx val="0"/>
          <c:showLegendKey val="0"/>
          <c:showVal val="1"/>
          <c:showCatName val="1"/>
          <c:showSerName val="0"/>
          <c:showPercent val="0"/>
          <c:showBubbleSize val="0"/>
          <c:extLst>
            <c:ext xmlns:c15="http://schemas.microsoft.com/office/drawing/2012/chart" uri="{CE6537A1-D6FC-4f65-9D91-7224C49458BB}"/>
          </c:extLst>
        </c:dLbl>
      </c:pivotFmt>
      <c:pivotFmt>
        <c:idx val="94"/>
        <c:dLbl>
          <c:idx val="0"/>
          <c:showLegendKey val="0"/>
          <c:showVal val="1"/>
          <c:showCatName val="1"/>
          <c:showSerName val="0"/>
          <c:showPercent val="0"/>
          <c:showBubbleSize val="0"/>
          <c:extLst>
            <c:ext xmlns:c15="http://schemas.microsoft.com/office/drawing/2012/chart" uri="{CE6537A1-D6FC-4f65-9D91-7224C49458BB}"/>
          </c:extLst>
        </c:dLbl>
      </c:pivotFmt>
      <c:pivotFmt>
        <c:idx val="95"/>
        <c:dLbl>
          <c:idx val="0"/>
          <c:showLegendKey val="0"/>
          <c:showVal val="1"/>
          <c:showCatName val="1"/>
          <c:showSerName val="0"/>
          <c:showPercent val="0"/>
          <c:showBubbleSize val="0"/>
          <c:extLst>
            <c:ext xmlns:c15="http://schemas.microsoft.com/office/drawing/2012/chart" uri="{CE6537A1-D6FC-4f65-9D91-7224C49458BB}"/>
          </c:extLst>
        </c:dLbl>
      </c:pivotFmt>
      <c:pivotFmt>
        <c:idx val="96"/>
        <c:dLbl>
          <c:idx val="0"/>
          <c:showLegendKey val="0"/>
          <c:showVal val="1"/>
          <c:showCatName val="1"/>
          <c:showSerName val="0"/>
          <c:showPercent val="0"/>
          <c:showBubbleSize val="0"/>
          <c:extLst>
            <c:ext xmlns:c15="http://schemas.microsoft.com/office/drawing/2012/chart" uri="{CE6537A1-D6FC-4f65-9D91-7224C49458BB}"/>
          </c:extLst>
        </c:dLbl>
      </c:pivotFmt>
      <c:pivotFmt>
        <c:idx val="97"/>
        <c:dLbl>
          <c:idx val="0"/>
          <c:showLegendKey val="0"/>
          <c:showVal val="1"/>
          <c:showCatName val="1"/>
          <c:showSerName val="0"/>
          <c:showPercent val="0"/>
          <c:showBubbleSize val="0"/>
          <c:extLst>
            <c:ext xmlns:c15="http://schemas.microsoft.com/office/drawing/2012/chart" uri="{CE6537A1-D6FC-4f65-9D91-7224C49458BB}"/>
          </c:extLst>
        </c:dLbl>
      </c:pivotFmt>
      <c:pivotFmt>
        <c:idx val="98"/>
        <c:dLbl>
          <c:idx val="0"/>
          <c:showLegendKey val="0"/>
          <c:showVal val="1"/>
          <c:showCatName val="1"/>
          <c:showSerName val="0"/>
          <c:showPercent val="0"/>
          <c:showBubbleSize val="0"/>
          <c:extLst>
            <c:ext xmlns:c15="http://schemas.microsoft.com/office/drawing/2012/chart" uri="{CE6537A1-D6FC-4f65-9D91-7224C49458BB}"/>
          </c:extLst>
        </c:dLbl>
      </c:pivotFmt>
      <c:pivotFmt>
        <c:idx val="99"/>
        <c:dLbl>
          <c:idx val="0"/>
          <c:showLegendKey val="0"/>
          <c:showVal val="1"/>
          <c:showCatName val="1"/>
          <c:showSerName val="0"/>
          <c:showPercent val="0"/>
          <c:showBubbleSize val="0"/>
          <c:extLst>
            <c:ext xmlns:c15="http://schemas.microsoft.com/office/drawing/2012/chart" uri="{CE6537A1-D6FC-4f65-9D91-7224C49458BB}"/>
          </c:extLst>
        </c:dLbl>
      </c:pivotFmt>
      <c:pivotFmt>
        <c:idx val="100"/>
        <c:dLbl>
          <c:idx val="0"/>
          <c:showLegendKey val="0"/>
          <c:showVal val="1"/>
          <c:showCatName val="1"/>
          <c:showSerName val="0"/>
          <c:showPercent val="0"/>
          <c:showBubbleSize val="0"/>
          <c:extLst>
            <c:ext xmlns:c15="http://schemas.microsoft.com/office/drawing/2012/chart" uri="{CE6537A1-D6FC-4f65-9D91-7224C49458BB}"/>
          </c:extLst>
        </c:dLbl>
      </c:pivotFmt>
      <c:pivotFmt>
        <c:idx val="101"/>
        <c:dLbl>
          <c:idx val="0"/>
          <c:showLegendKey val="0"/>
          <c:showVal val="0"/>
          <c:showCatName val="0"/>
          <c:showSerName val="0"/>
          <c:showPercent val="0"/>
          <c:showBubbleSize val="0"/>
          <c:extLst>
            <c:ext xmlns:c15="http://schemas.microsoft.com/office/drawing/2012/chart" uri="{CE6537A1-D6FC-4f65-9D91-7224C49458BB}"/>
          </c:extLst>
        </c:dLbl>
      </c:pivotFmt>
      <c:pivotFmt>
        <c:idx val="102"/>
        <c:dLbl>
          <c:idx val="0"/>
          <c:showLegendKey val="0"/>
          <c:showVal val="1"/>
          <c:showCatName val="1"/>
          <c:showSerName val="0"/>
          <c:showPercent val="0"/>
          <c:showBubbleSize val="0"/>
          <c:extLst>
            <c:ext xmlns:c15="http://schemas.microsoft.com/office/drawing/2012/chart" uri="{CE6537A1-D6FC-4f65-9D91-7224C49458BB}"/>
          </c:extLst>
        </c:dLbl>
      </c:pivotFmt>
      <c:pivotFmt>
        <c:idx val="103"/>
        <c:dLbl>
          <c:idx val="0"/>
          <c:showLegendKey val="0"/>
          <c:showVal val="0"/>
          <c:showCatName val="0"/>
          <c:showSerName val="0"/>
          <c:showPercent val="0"/>
          <c:showBubbleSize val="0"/>
          <c:extLst>
            <c:ext xmlns:c15="http://schemas.microsoft.com/office/drawing/2012/chart" uri="{CE6537A1-D6FC-4f65-9D91-7224C49458BB}"/>
          </c:extLst>
        </c:dLbl>
      </c:pivotFmt>
      <c:pivotFmt>
        <c:idx val="104"/>
        <c:dLbl>
          <c:idx val="0"/>
          <c:showLegendKey val="0"/>
          <c:showVal val="0"/>
          <c:showCatName val="0"/>
          <c:showSerName val="0"/>
          <c:showPercent val="0"/>
          <c:showBubbleSize val="0"/>
          <c:extLst>
            <c:ext xmlns:c15="http://schemas.microsoft.com/office/drawing/2012/chart" uri="{CE6537A1-D6FC-4f65-9D91-7224C49458BB}"/>
          </c:extLst>
        </c:dLbl>
      </c:pivotFmt>
      <c:pivotFmt>
        <c:idx val="105"/>
        <c:dLbl>
          <c:idx val="0"/>
          <c:showLegendKey val="0"/>
          <c:showVal val="0"/>
          <c:showCatName val="0"/>
          <c:showSerName val="0"/>
          <c:showPercent val="0"/>
          <c:showBubbleSize val="0"/>
          <c:extLst>
            <c:ext xmlns:c15="http://schemas.microsoft.com/office/drawing/2012/chart" uri="{CE6537A1-D6FC-4f65-9D91-7224C49458BB}"/>
          </c:extLst>
        </c:dLbl>
      </c:pivotFmt>
      <c:pivotFmt>
        <c:idx val="106"/>
        <c:dLbl>
          <c:idx val="0"/>
          <c:showLegendKey val="0"/>
          <c:showVal val="0"/>
          <c:showCatName val="0"/>
          <c:showSerName val="0"/>
          <c:showPercent val="0"/>
          <c:showBubbleSize val="0"/>
          <c:extLst>
            <c:ext xmlns:c15="http://schemas.microsoft.com/office/drawing/2012/chart" uri="{CE6537A1-D6FC-4f65-9D91-7224C49458BB}"/>
          </c:extLst>
        </c:dLbl>
      </c:pivotFmt>
      <c:pivotFmt>
        <c:idx val="107"/>
        <c:dLbl>
          <c:idx val="0"/>
          <c:showLegendKey val="0"/>
          <c:showVal val="0"/>
          <c:showCatName val="0"/>
          <c:showSerName val="0"/>
          <c:showPercent val="0"/>
          <c:showBubbleSize val="0"/>
          <c:extLst>
            <c:ext xmlns:c15="http://schemas.microsoft.com/office/drawing/2012/chart" uri="{CE6537A1-D6FC-4f65-9D91-7224C49458BB}"/>
          </c:extLst>
        </c:dLbl>
      </c:pivotFmt>
      <c:pivotFmt>
        <c:idx val="108"/>
        <c:dLbl>
          <c:idx val="0"/>
          <c:showLegendKey val="0"/>
          <c:showVal val="1"/>
          <c:showCatName val="1"/>
          <c:showSerName val="0"/>
          <c:showPercent val="0"/>
          <c:showBubbleSize val="0"/>
          <c:extLst>
            <c:ext xmlns:c15="http://schemas.microsoft.com/office/drawing/2012/chart" uri="{CE6537A1-D6FC-4f65-9D91-7224C49458BB}"/>
          </c:extLst>
        </c:dLbl>
      </c:pivotFmt>
      <c:pivotFmt>
        <c:idx val="109"/>
        <c:dLbl>
          <c:idx val="0"/>
          <c:showLegendKey val="0"/>
          <c:showVal val="1"/>
          <c:showCatName val="1"/>
          <c:showSerName val="0"/>
          <c:showPercent val="0"/>
          <c:showBubbleSize val="0"/>
          <c:extLst>
            <c:ext xmlns:c15="http://schemas.microsoft.com/office/drawing/2012/chart" uri="{CE6537A1-D6FC-4f65-9D91-7224C49458BB}"/>
          </c:extLst>
        </c:dLbl>
      </c:pivotFmt>
      <c:pivotFmt>
        <c:idx val="110"/>
        <c:dLbl>
          <c:idx val="0"/>
          <c:showLegendKey val="0"/>
          <c:showVal val="1"/>
          <c:showCatName val="1"/>
          <c:showSerName val="0"/>
          <c:showPercent val="0"/>
          <c:showBubbleSize val="0"/>
          <c:extLst>
            <c:ext xmlns:c15="http://schemas.microsoft.com/office/drawing/2012/chart" uri="{CE6537A1-D6FC-4f65-9D91-7224C49458BB}"/>
          </c:extLst>
        </c:dLbl>
      </c:pivotFmt>
      <c:pivotFmt>
        <c:idx val="111"/>
        <c:dLbl>
          <c:idx val="0"/>
          <c:showLegendKey val="0"/>
          <c:showVal val="1"/>
          <c:showCatName val="1"/>
          <c:showSerName val="0"/>
          <c:showPercent val="0"/>
          <c:showBubbleSize val="0"/>
          <c:extLst>
            <c:ext xmlns:c15="http://schemas.microsoft.com/office/drawing/2012/chart" uri="{CE6537A1-D6FC-4f65-9D91-7224C49458BB}"/>
          </c:extLst>
        </c:dLbl>
      </c:pivotFmt>
      <c:pivotFmt>
        <c:idx val="112"/>
        <c:dLbl>
          <c:idx val="0"/>
          <c:showLegendKey val="0"/>
          <c:showVal val="1"/>
          <c:showCatName val="1"/>
          <c:showSerName val="0"/>
          <c:showPercent val="0"/>
          <c:showBubbleSize val="0"/>
          <c:extLst>
            <c:ext xmlns:c15="http://schemas.microsoft.com/office/drawing/2012/chart" uri="{CE6537A1-D6FC-4f65-9D91-7224C49458BB}"/>
          </c:extLst>
        </c:dLbl>
      </c:pivotFmt>
      <c:pivotFmt>
        <c:idx val="113"/>
        <c:dLbl>
          <c:idx val="0"/>
          <c:showLegendKey val="0"/>
          <c:showVal val="1"/>
          <c:showCatName val="1"/>
          <c:showSerName val="0"/>
          <c:showPercent val="0"/>
          <c:showBubbleSize val="0"/>
          <c:extLst>
            <c:ext xmlns:c15="http://schemas.microsoft.com/office/drawing/2012/chart" uri="{CE6537A1-D6FC-4f65-9D91-7224C49458BB}"/>
          </c:extLst>
        </c:dLbl>
      </c:pivotFmt>
      <c:pivotFmt>
        <c:idx val="114"/>
        <c:dLbl>
          <c:idx val="0"/>
          <c:showLegendKey val="0"/>
          <c:showVal val="1"/>
          <c:showCatName val="1"/>
          <c:showSerName val="0"/>
          <c:showPercent val="0"/>
          <c:showBubbleSize val="0"/>
          <c:extLst>
            <c:ext xmlns:c15="http://schemas.microsoft.com/office/drawing/2012/chart" uri="{CE6537A1-D6FC-4f65-9D91-7224C49458BB}"/>
          </c:extLst>
        </c:dLbl>
      </c:pivotFmt>
      <c:pivotFmt>
        <c:idx val="115"/>
        <c:dLbl>
          <c:idx val="0"/>
          <c:showLegendKey val="0"/>
          <c:showVal val="1"/>
          <c:showCatName val="1"/>
          <c:showSerName val="0"/>
          <c:showPercent val="0"/>
          <c:showBubbleSize val="0"/>
          <c:extLst>
            <c:ext xmlns:c15="http://schemas.microsoft.com/office/drawing/2012/chart" uri="{CE6537A1-D6FC-4f65-9D91-7224C49458BB}"/>
          </c:extLst>
        </c:dLbl>
      </c:pivotFmt>
      <c:pivotFmt>
        <c:idx val="116"/>
        <c:dLbl>
          <c:idx val="0"/>
          <c:showLegendKey val="0"/>
          <c:showVal val="1"/>
          <c:showCatName val="1"/>
          <c:showSerName val="0"/>
          <c:showPercent val="0"/>
          <c:showBubbleSize val="0"/>
          <c:extLst>
            <c:ext xmlns:c15="http://schemas.microsoft.com/office/drawing/2012/chart" uri="{CE6537A1-D6FC-4f65-9D91-7224C49458BB}"/>
          </c:extLst>
        </c:dLbl>
      </c:pivotFmt>
      <c:pivotFmt>
        <c:idx val="117"/>
        <c:dLbl>
          <c:idx val="0"/>
          <c:showLegendKey val="0"/>
          <c:showVal val="1"/>
          <c:showCatName val="1"/>
          <c:showSerName val="0"/>
          <c:showPercent val="0"/>
          <c:showBubbleSize val="0"/>
          <c:extLst>
            <c:ext xmlns:c15="http://schemas.microsoft.com/office/drawing/2012/chart" uri="{CE6537A1-D6FC-4f65-9D91-7224C49458BB}"/>
          </c:extLst>
        </c:dLbl>
      </c:pivotFmt>
      <c:pivotFmt>
        <c:idx val="118"/>
        <c:dLbl>
          <c:idx val="0"/>
          <c:showLegendKey val="0"/>
          <c:showVal val="1"/>
          <c:showCatName val="1"/>
          <c:showSerName val="0"/>
          <c:showPercent val="0"/>
          <c:showBubbleSize val="0"/>
          <c:extLst>
            <c:ext xmlns:c15="http://schemas.microsoft.com/office/drawing/2012/chart" uri="{CE6537A1-D6FC-4f65-9D91-7224C49458BB}"/>
          </c:extLst>
        </c:dLbl>
      </c:pivotFmt>
      <c:pivotFmt>
        <c:idx val="119"/>
        <c:dLbl>
          <c:idx val="0"/>
          <c:showLegendKey val="0"/>
          <c:showVal val="1"/>
          <c:showCatName val="1"/>
          <c:showSerName val="0"/>
          <c:showPercent val="0"/>
          <c:showBubbleSize val="0"/>
          <c:extLst>
            <c:ext xmlns:c15="http://schemas.microsoft.com/office/drawing/2012/chart" uri="{CE6537A1-D6FC-4f65-9D91-7224C49458BB}"/>
          </c:extLst>
        </c:dLbl>
      </c:pivotFmt>
      <c:pivotFmt>
        <c:idx val="120"/>
        <c:dLbl>
          <c:idx val="0"/>
          <c:showLegendKey val="0"/>
          <c:showVal val="1"/>
          <c:showCatName val="1"/>
          <c:showSerName val="0"/>
          <c:showPercent val="0"/>
          <c:showBubbleSize val="0"/>
          <c:extLst>
            <c:ext xmlns:c15="http://schemas.microsoft.com/office/drawing/2012/chart" uri="{CE6537A1-D6FC-4f65-9D91-7224C49458BB}"/>
          </c:extLst>
        </c:dLbl>
      </c:pivotFmt>
      <c:pivotFmt>
        <c:idx val="121"/>
        <c:dLbl>
          <c:idx val="0"/>
          <c:showLegendKey val="0"/>
          <c:showVal val="1"/>
          <c:showCatName val="1"/>
          <c:showSerName val="0"/>
          <c:showPercent val="0"/>
          <c:showBubbleSize val="0"/>
          <c:extLst>
            <c:ext xmlns:c15="http://schemas.microsoft.com/office/drawing/2012/chart" uri="{CE6537A1-D6FC-4f65-9D91-7224C49458BB}"/>
          </c:extLst>
        </c:dLbl>
      </c:pivotFmt>
      <c:pivotFmt>
        <c:idx val="122"/>
        <c:dLbl>
          <c:idx val="0"/>
          <c:showLegendKey val="0"/>
          <c:showVal val="1"/>
          <c:showCatName val="1"/>
          <c:showSerName val="0"/>
          <c:showPercent val="0"/>
          <c:showBubbleSize val="0"/>
          <c:extLst>
            <c:ext xmlns:c15="http://schemas.microsoft.com/office/drawing/2012/chart" uri="{CE6537A1-D6FC-4f65-9D91-7224C49458BB}"/>
          </c:extLst>
        </c:dLbl>
      </c:pivotFmt>
      <c:pivotFmt>
        <c:idx val="123"/>
        <c:dLbl>
          <c:idx val="0"/>
          <c:showLegendKey val="0"/>
          <c:showVal val="1"/>
          <c:showCatName val="1"/>
          <c:showSerName val="0"/>
          <c:showPercent val="0"/>
          <c:showBubbleSize val="0"/>
          <c:extLst>
            <c:ext xmlns:c15="http://schemas.microsoft.com/office/drawing/2012/chart" uri="{CE6537A1-D6FC-4f65-9D91-7224C49458BB}"/>
          </c:extLst>
        </c:dLbl>
      </c:pivotFmt>
      <c:pivotFmt>
        <c:idx val="124"/>
        <c:dLbl>
          <c:idx val="0"/>
          <c:showLegendKey val="0"/>
          <c:showVal val="1"/>
          <c:showCatName val="1"/>
          <c:showSerName val="0"/>
          <c:showPercent val="0"/>
          <c:showBubbleSize val="0"/>
          <c:extLst>
            <c:ext xmlns:c15="http://schemas.microsoft.com/office/drawing/2012/chart" uri="{CE6537A1-D6FC-4f65-9D91-7224C49458BB}"/>
          </c:extLst>
        </c:dLbl>
      </c:pivotFmt>
      <c:pivotFmt>
        <c:idx val="125"/>
        <c:dLbl>
          <c:idx val="0"/>
          <c:showLegendKey val="0"/>
          <c:showVal val="1"/>
          <c:showCatName val="1"/>
          <c:showSerName val="0"/>
          <c:showPercent val="0"/>
          <c:showBubbleSize val="0"/>
          <c:extLst>
            <c:ext xmlns:c15="http://schemas.microsoft.com/office/drawing/2012/chart" uri="{CE6537A1-D6FC-4f65-9D91-7224C49458BB}"/>
          </c:extLst>
        </c:dLbl>
      </c:pivotFmt>
      <c:pivotFmt>
        <c:idx val="126"/>
        <c:dLbl>
          <c:idx val="0"/>
          <c:showLegendKey val="0"/>
          <c:showVal val="1"/>
          <c:showCatName val="1"/>
          <c:showSerName val="0"/>
          <c:showPercent val="0"/>
          <c:showBubbleSize val="0"/>
          <c:extLst>
            <c:ext xmlns:c15="http://schemas.microsoft.com/office/drawing/2012/chart" uri="{CE6537A1-D6FC-4f65-9D91-7224C49458BB}"/>
          </c:extLst>
        </c:dLbl>
      </c:pivotFmt>
      <c:pivotFmt>
        <c:idx val="127"/>
        <c:dLbl>
          <c:idx val="0"/>
          <c:showLegendKey val="0"/>
          <c:showVal val="1"/>
          <c:showCatName val="1"/>
          <c:showSerName val="0"/>
          <c:showPercent val="0"/>
          <c:showBubbleSize val="0"/>
          <c:extLst>
            <c:ext xmlns:c15="http://schemas.microsoft.com/office/drawing/2012/chart" uri="{CE6537A1-D6FC-4f65-9D91-7224C49458BB}"/>
          </c:extLst>
        </c:dLbl>
      </c:pivotFmt>
      <c:pivotFmt>
        <c:idx val="128"/>
        <c:dLbl>
          <c:idx val="0"/>
          <c:showLegendKey val="0"/>
          <c:showVal val="1"/>
          <c:showCatName val="1"/>
          <c:showSerName val="0"/>
          <c:showPercent val="0"/>
          <c:showBubbleSize val="0"/>
          <c:extLst>
            <c:ext xmlns:c15="http://schemas.microsoft.com/office/drawing/2012/chart" uri="{CE6537A1-D6FC-4f65-9D91-7224C49458BB}"/>
          </c:extLst>
        </c:dLbl>
      </c:pivotFmt>
      <c:pivotFmt>
        <c:idx val="129"/>
        <c:dLbl>
          <c:idx val="0"/>
          <c:showLegendKey val="0"/>
          <c:showVal val="1"/>
          <c:showCatName val="1"/>
          <c:showSerName val="0"/>
          <c:showPercent val="0"/>
          <c:showBubbleSize val="0"/>
          <c:extLst>
            <c:ext xmlns:c15="http://schemas.microsoft.com/office/drawing/2012/chart" uri="{CE6537A1-D6FC-4f65-9D91-7224C49458BB}"/>
          </c:extLst>
        </c:dLbl>
      </c:pivotFmt>
      <c:pivotFmt>
        <c:idx val="130"/>
        <c:dLbl>
          <c:idx val="0"/>
          <c:showLegendKey val="0"/>
          <c:showVal val="1"/>
          <c:showCatName val="1"/>
          <c:showSerName val="0"/>
          <c:showPercent val="0"/>
          <c:showBubbleSize val="0"/>
          <c:extLst>
            <c:ext xmlns:c15="http://schemas.microsoft.com/office/drawing/2012/chart" uri="{CE6537A1-D6FC-4f65-9D91-7224C49458BB}"/>
          </c:extLst>
        </c:dLbl>
      </c:pivotFmt>
      <c:pivotFmt>
        <c:idx val="131"/>
        <c:dLbl>
          <c:idx val="0"/>
          <c:showLegendKey val="0"/>
          <c:showVal val="1"/>
          <c:showCatName val="1"/>
          <c:showSerName val="0"/>
          <c:showPercent val="0"/>
          <c:showBubbleSize val="0"/>
          <c:extLst>
            <c:ext xmlns:c15="http://schemas.microsoft.com/office/drawing/2012/chart" uri="{CE6537A1-D6FC-4f65-9D91-7224C49458BB}"/>
          </c:extLst>
        </c:dLbl>
      </c:pivotFmt>
      <c:pivotFmt>
        <c:idx val="132"/>
        <c:dLbl>
          <c:idx val="0"/>
          <c:showLegendKey val="0"/>
          <c:showVal val="1"/>
          <c:showCatName val="1"/>
          <c:showSerName val="0"/>
          <c:showPercent val="0"/>
          <c:showBubbleSize val="0"/>
          <c:extLst>
            <c:ext xmlns:c15="http://schemas.microsoft.com/office/drawing/2012/chart" uri="{CE6537A1-D6FC-4f65-9D91-7224C49458BB}"/>
          </c:extLst>
        </c:dLbl>
      </c:pivotFmt>
      <c:pivotFmt>
        <c:idx val="133"/>
        <c:dLbl>
          <c:idx val="0"/>
          <c:showLegendKey val="0"/>
          <c:showVal val="1"/>
          <c:showCatName val="1"/>
          <c:showSerName val="0"/>
          <c:showPercent val="0"/>
          <c:showBubbleSize val="0"/>
          <c:extLst>
            <c:ext xmlns:c15="http://schemas.microsoft.com/office/drawing/2012/chart" uri="{CE6537A1-D6FC-4f65-9D91-7224C49458BB}"/>
          </c:extLst>
        </c:dLbl>
      </c:pivotFmt>
      <c:pivotFmt>
        <c:idx val="134"/>
        <c:dLbl>
          <c:idx val="0"/>
          <c:showLegendKey val="0"/>
          <c:showVal val="1"/>
          <c:showCatName val="1"/>
          <c:showSerName val="0"/>
          <c:showPercent val="0"/>
          <c:showBubbleSize val="0"/>
          <c:extLst>
            <c:ext xmlns:c15="http://schemas.microsoft.com/office/drawing/2012/chart" uri="{CE6537A1-D6FC-4f65-9D91-7224C49458BB}"/>
          </c:extLst>
        </c:dLbl>
      </c:pivotFmt>
      <c:pivotFmt>
        <c:idx val="135"/>
        <c:dLbl>
          <c:idx val="0"/>
          <c:showLegendKey val="0"/>
          <c:showVal val="1"/>
          <c:showCatName val="1"/>
          <c:showSerName val="0"/>
          <c:showPercent val="0"/>
          <c:showBubbleSize val="0"/>
          <c:extLst>
            <c:ext xmlns:c15="http://schemas.microsoft.com/office/drawing/2012/chart" uri="{CE6537A1-D6FC-4f65-9D91-7224C49458BB}"/>
          </c:extLst>
        </c:dLbl>
      </c:pivotFmt>
      <c:pivotFmt>
        <c:idx val="136"/>
        <c:dLbl>
          <c:idx val="0"/>
          <c:showLegendKey val="0"/>
          <c:showVal val="1"/>
          <c:showCatName val="1"/>
          <c:showSerName val="0"/>
          <c:showPercent val="0"/>
          <c:showBubbleSize val="0"/>
          <c:extLst>
            <c:ext xmlns:c15="http://schemas.microsoft.com/office/drawing/2012/chart" uri="{CE6537A1-D6FC-4f65-9D91-7224C49458BB}"/>
          </c:extLst>
        </c:dLbl>
      </c:pivotFmt>
      <c:pivotFmt>
        <c:idx val="137"/>
        <c:dLbl>
          <c:idx val="0"/>
          <c:showLegendKey val="0"/>
          <c:showVal val="1"/>
          <c:showCatName val="1"/>
          <c:showSerName val="0"/>
          <c:showPercent val="0"/>
          <c:showBubbleSize val="0"/>
          <c:extLst>
            <c:ext xmlns:c15="http://schemas.microsoft.com/office/drawing/2012/chart" uri="{CE6537A1-D6FC-4f65-9D91-7224C49458BB}"/>
          </c:extLst>
        </c:dLbl>
      </c:pivotFmt>
      <c:pivotFmt>
        <c:idx val="138"/>
        <c:dLbl>
          <c:idx val="0"/>
          <c:showLegendKey val="0"/>
          <c:showVal val="1"/>
          <c:showCatName val="1"/>
          <c:showSerName val="0"/>
          <c:showPercent val="0"/>
          <c:showBubbleSize val="0"/>
          <c:extLst>
            <c:ext xmlns:c15="http://schemas.microsoft.com/office/drawing/2012/chart" uri="{CE6537A1-D6FC-4f65-9D91-7224C49458BB}"/>
          </c:extLst>
        </c:dLbl>
      </c:pivotFmt>
      <c:pivotFmt>
        <c:idx val="139"/>
        <c:dLbl>
          <c:idx val="0"/>
          <c:showLegendKey val="0"/>
          <c:showVal val="1"/>
          <c:showCatName val="1"/>
          <c:showSerName val="0"/>
          <c:showPercent val="0"/>
          <c:showBubbleSize val="0"/>
          <c:extLst>
            <c:ext xmlns:c15="http://schemas.microsoft.com/office/drawing/2012/chart" uri="{CE6537A1-D6FC-4f65-9D91-7224C49458BB}"/>
          </c:extLst>
        </c:dLbl>
      </c:pivotFmt>
      <c:pivotFmt>
        <c:idx val="140"/>
        <c:dLbl>
          <c:idx val="0"/>
          <c:showLegendKey val="0"/>
          <c:showVal val="1"/>
          <c:showCatName val="1"/>
          <c:showSerName val="0"/>
          <c:showPercent val="0"/>
          <c:showBubbleSize val="0"/>
          <c:extLst>
            <c:ext xmlns:c15="http://schemas.microsoft.com/office/drawing/2012/chart" uri="{CE6537A1-D6FC-4f65-9D91-7224C49458BB}"/>
          </c:extLst>
        </c:dLbl>
      </c:pivotFmt>
      <c:pivotFmt>
        <c:idx val="141"/>
        <c:dLbl>
          <c:idx val="0"/>
          <c:showLegendKey val="0"/>
          <c:showVal val="1"/>
          <c:showCatName val="1"/>
          <c:showSerName val="0"/>
          <c:showPercent val="0"/>
          <c:showBubbleSize val="0"/>
          <c:extLst>
            <c:ext xmlns:c15="http://schemas.microsoft.com/office/drawing/2012/chart" uri="{CE6537A1-D6FC-4f65-9D91-7224C49458BB}"/>
          </c:extLst>
        </c:dLbl>
      </c:pivotFmt>
      <c:pivotFmt>
        <c:idx val="142"/>
        <c:dLbl>
          <c:idx val="0"/>
          <c:showLegendKey val="0"/>
          <c:showVal val="1"/>
          <c:showCatName val="1"/>
          <c:showSerName val="0"/>
          <c:showPercent val="0"/>
          <c:showBubbleSize val="0"/>
          <c:extLst>
            <c:ext xmlns:c15="http://schemas.microsoft.com/office/drawing/2012/chart" uri="{CE6537A1-D6FC-4f65-9D91-7224C49458BB}"/>
          </c:extLst>
        </c:dLbl>
      </c:pivotFmt>
      <c:pivotFmt>
        <c:idx val="143"/>
        <c:dLbl>
          <c:idx val="0"/>
          <c:showLegendKey val="0"/>
          <c:showVal val="1"/>
          <c:showCatName val="1"/>
          <c:showSerName val="0"/>
          <c:showPercent val="0"/>
          <c:showBubbleSize val="0"/>
          <c:extLst>
            <c:ext xmlns:c15="http://schemas.microsoft.com/office/drawing/2012/chart" uri="{CE6537A1-D6FC-4f65-9D91-7224C49458BB}"/>
          </c:extLst>
        </c:dLbl>
      </c:pivotFmt>
      <c:pivotFmt>
        <c:idx val="144"/>
        <c:dLbl>
          <c:idx val="0"/>
          <c:showLegendKey val="0"/>
          <c:showVal val="1"/>
          <c:showCatName val="1"/>
          <c:showSerName val="0"/>
          <c:showPercent val="0"/>
          <c:showBubbleSize val="0"/>
          <c:extLst>
            <c:ext xmlns:c15="http://schemas.microsoft.com/office/drawing/2012/chart" uri="{CE6537A1-D6FC-4f65-9D91-7224C49458BB}"/>
          </c:extLst>
        </c:dLbl>
      </c:pivotFmt>
      <c:pivotFmt>
        <c:idx val="145"/>
        <c:dLbl>
          <c:idx val="0"/>
          <c:showLegendKey val="0"/>
          <c:showVal val="1"/>
          <c:showCatName val="1"/>
          <c:showSerName val="0"/>
          <c:showPercent val="0"/>
          <c:showBubbleSize val="0"/>
          <c:extLst>
            <c:ext xmlns:c15="http://schemas.microsoft.com/office/drawing/2012/chart" uri="{CE6537A1-D6FC-4f65-9D91-7224C49458BB}"/>
          </c:extLst>
        </c:dLbl>
      </c:pivotFmt>
      <c:pivotFmt>
        <c:idx val="146"/>
        <c:dLbl>
          <c:idx val="0"/>
          <c:showLegendKey val="0"/>
          <c:showVal val="1"/>
          <c:showCatName val="1"/>
          <c:showSerName val="0"/>
          <c:showPercent val="0"/>
          <c:showBubbleSize val="0"/>
          <c:extLst>
            <c:ext xmlns:c15="http://schemas.microsoft.com/office/drawing/2012/chart" uri="{CE6537A1-D6FC-4f65-9D91-7224C49458BB}"/>
          </c:extLst>
        </c:dLbl>
      </c:pivotFmt>
      <c:pivotFmt>
        <c:idx val="147"/>
        <c:dLbl>
          <c:idx val="0"/>
          <c:showLegendKey val="0"/>
          <c:showVal val="1"/>
          <c:showCatName val="1"/>
          <c:showSerName val="0"/>
          <c:showPercent val="0"/>
          <c:showBubbleSize val="0"/>
          <c:extLst>
            <c:ext xmlns:c15="http://schemas.microsoft.com/office/drawing/2012/chart" uri="{CE6537A1-D6FC-4f65-9D91-7224C49458BB}"/>
          </c:extLst>
        </c:dLbl>
      </c:pivotFmt>
      <c:pivotFmt>
        <c:idx val="148"/>
        <c:dLbl>
          <c:idx val="0"/>
          <c:showLegendKey val="0"/>
          <c:showVal val="1"/>
          <c:showCatName val="1"/>
          <c:showSerName val="0"/>
          <c:showPercent val="0"/>
          <c:showBubbleSize val="0"/>
          <c:extLst>
            <c:ext xmlns:c15="http://schemas.microsoft.com/office/drawing/2012/chart" uri="{CE6537A1-D6FC-4f65-9D91-7224C49458BB}"/>
          </c:extLst>
        </c:dLbl>
      </c:pivotFmt>
      <c:pivotFmt>
        <c:idx val="149"/>
        <c:dLbl>
          <c:idx val="0"/>
          <c:showLegendKey val="0"/>
          <c:showVal val="1"/>
          <c:showCatName val="1"/>
          <c:showSerName val="0"/>
          <c:showPercent val="0"/>
          <c:showBubbleSize val="0"/>
          <c:extLst>
            <c:ext xmlns:c15="http://schemas.microsoft.com/office/drawing/2012/chart" uri="{CE6537A1-D6FC-4f65-9D91-7224C49458BB}"/>
          </c:extLst>
        </c:dLbl>
      </c:pivotFmt>
      <c:pivotFmt>
        <c:idx val="150"/>
        <c:dLbl>
          <c:idx val="0"/>
          <c:showLegendKey val="0"/>
          <c:showVal val="1"/>
          <c:showCatName val="1"/>
          <c:showSerName val="0"/>
          <c:showPercent val="0"/>
          <c:showBubbleSize val="0"/>
          <c:extLst>
            <c:ext xmlns:c15="http://schemas.microsoft.com/office/drawing/2012/chart" uri="{CE6537A1-D6FC-4f65-9D91-7224C49458BB}"/>
          </c:extLst>
        </c:dLbl>
      </c:pivotFmt>
      <c:pivotFmt>
        <c:idx val="151"/>
        <c:dLbl>
          <c:idx val="0"/>
          <c:showLegendKey val="0"/>
          <c:showVal val="1"/>
          <c:showCatName val="1"/>
          <c:showSerName val="0"/>
          <c:showPercent val="0"/>
          <c:showBubbleSize val="0"/>
          <c:extLst>
            <c:ext xmlns:c15="http://schemas.microsoft.com/office/drawing/2012/chart" uri="{CE6537A1-D6FC-4f65-9D91-7224C49458BB}"/>
          </c:extLst>
        </c:dLbl>
      </c:pivotFmt>
      <c:pivotFmt>
        <c:idx val="152"/>
        <c:dLbl>
          <c:idx val="0"/>
          <c:showLegendKey val="0"/>
          <c:showVal val="1"/>
          <c:showCatName val="1"/>
          <c:showSerName val="0"/>
          <c:showPercent val="0"/>
          <c:showBubbleSize val="0"/>
          <c:extLst>
            <c:ext xmlns:c15="http://schemas.microsoft.com/office/drawing/2012/chart" uri="{CE6537A1-D6FC-4f65-9D91-7224C49458BB}"/>
          </c:extLst>
        </c:dLbl>
      </c:pivotFmt>
      <c:pivotFmt>
        <c:idx val="153"/>
        <c:dLbl>
          <c:idx val="0"/>
          <c:showLegendKey val="0"/>
          <c:showVal val="1"/>
          <c:showCatName val="1"/>
          <c:showSerName val="0"/>
          <c:showPercent val="0"/>
          <c:showBubbleSize val="0"/>
          <c:extLst>
            <c:ext xmlns:c15="http://schemas.microsoft.com/office/drawing/2012/chart" uri="{CE6537A1-D6FC-4f65-9D91-7224C49458BB}"/>
          </c:extLst>
        </c:dLbl>
      </c:pivotFmt>
      <c:pivotFmt>
        <c:idx val="154"/>
        <c:dLbl>
          <c:idx val="0"/>
          <c:showLegendKey val="0"/>
          <c:showVal val="1"/>
          <c:showCatName val="1"/>
          <c:showSerName val="0"/>
          <c:showPercent val="0"/>
          <c:showBubbleSize val="0"/>
          <c:extLst>
            <c:ext xmlns:c15="http://schemas.microsoft.com/office/drawing/2012/chart" uri="{CE6537A1-D6FC-4f65-9D91-7224C49458BB}"/>
          </c:extLst>
        </c:dLbl>
      </c:pivotFmt>
      <c:pivotFmt>
        <c:idx val="155"/>
        <c:dLbl>
          <c:idx val="0"/>
          <c:showLegendKey val="0"/>
          <c:showVal val="1"/>
          <c:showCatName val="1"/>
          <c:showSerName val="0"/>
          <c:showPercent val="0"/>
          <c:showBubbleSize val="0"/>
          <c:extLst>
            <c:ext xmlns:c15="http://schemas.microsoft.com/office/drawing/2012/chart" uri="{CE6537A1-D6FC-4f65-9D91-7224C49458BB}"/>
          </c:extLst>
        </c:dLbl>
      </c:pivotFmt>
      <c:pivotFmt>
        <c:idx val="156"/>
        <c:dLbl>
          <c:idx val="0"/>
          <c:showLegendKey val="0"/>
          <c:showVal val="1"/>
          <c:showCatName val="1"/>
          <c:showSerName val="0"/>
          <c:showPercent val="0"/>
          <c:showBubbleSize val="0"/>
          <c:extLst>
            <c:ext xmlns:c15="http://schemas.microsoft.com/office/drawing/2012/chart" uri="{CE6537A1-D6FC-4f65-9D91-7224C49458BB}"/>
          </c:extLst>
        </c:dLbl>
      </c:pivotFmt>
      <c:pivotFmt>
        <c:idx val="157"/>
        <c:spPr>
          <a:solidFill>
            <a:schemeClr val="accent1"/>
          </a:solidFill>
          <a:ln w="19050">
            <a:solidFill>
              <a:schemeClr val="lt1"/>
            </a:solidFill>
          </a:ln>
          <a:effectLst/>
        </c:spPr>
        <c:marker>
          <c:spPr>
            <a:solidFill>
              <a:schemeClr val="accent1"/>
            </a:solidFill>
            <a:ln w="9525">
              <a:solidFill>
                <a:schemeClr val="accent1"/>
              </a:solidFill>
            </a:ln>
            <a:effectLst/>
          </c:spPr>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58"/>
        <c:spPr>
          <a:solidFill>
            <a:schemeClr val="accent1"/>
          </a:solidFill>
          <a:ln w="19050">
            <a:solidFill>
              <a:schemeClr val="lt1"/>
            </a:solidFill>
          </a:ln>
          <a:effectLst/>
        </c:spPr>
        <c:marker>
          <c:spPr>
            <a:solidFill>
              <a:schemeClr val="accent1"/>
            </a:solidFill>
            <a:ln w="9525">
              <a:solidFill>
                <a:schemeClr val="accent1"/>
              </a:solidFill>
            </a:ln>
            <a:effectLst/>
          </c:spPr>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59"/>
        <c:spPr>
          <a:solidFill>
            <a:schemeClr val="accent1">
              <a:tint val="77000"/>
            </a:schemeClr>
          </a:solidFill>
          <a:ln w="19050">
            <a:solidFill>
              <a:schemeClr val="lt1"/>
            </a:solidFill>
          </a:ln>
          <a:effectLst/>
        </c:spPr>
        <c:dLbl>
          <c:idx val="0"/>
          <c:layout>
            <c:manualLayout>
              <c:x val="-0.14434523809523808"/>
              <c:y val="5.3418803418803416E-2"/>
            </c:manualLayout>
          </c:layout>
          <c:tx>
            <c:rich>
              <a:bodyPr rot="0" spcFirstLastPara="1" vertOverflow="ellipsis" vert="horz" wrap="square" lIns="38100" tIns="19050" rIns="38100" bIns="19050" anchor="ctr" anchorCtr="1">
                <a:noAutofit/>
              </a:bodyPr>
              <a:lstStyle/>
              <a:p>
                <a:pPr>
                  <a:defRPr sz="1000" b="1" i="0" u="none" strike="noStrike" kern="1200" baseline="0">
                    <a:solidFill>
                      <a:schemeClr val="bg1"/>
                    </a:solidFill>
                    <a:latin typeface="+mn-lt"/>
                    <a:ea typeface="+mn-ea"/>
                    <a:cs typeface="+mn-cs"/>
                  </a:defRPr>
                </a:pPr>
                <a:fld id="{BE6E3D3E-8EB6-4EA2-8982-1A549FD7FDFA}" type="CATEGORYNAME">
                  <a:rPr lang="en-US"/>
                  <a:pPr>
                    <a:defRPr sz="1000" b="1" i="0" u="none" strike="noStrike" kern="1200" baseline="0">
                      <a:solidFill>
                        <a:schemeClr val="bg1"/>
                      </a:solidFill>
                      <a:latin typeface="+mn-lt"/>
                      <a:ea typeface="+mn-ea"/>
                      <a:cs typeface="+mn-cs"/>
                    </a:defRPr>
                  </a:pPr>
                  <a:t>[CATEGORY NAME]</a:t>
                </a:fld>
                <a:r>
                  <a:rPr lang="en-US" baseline="0"/>
                  <a:t> </a:t>
                </a:r>
                <a:fld id="{E124DEFA-D5BF-4B61-BCE8-2FC32AE8D14F}" type="PERCENTAGE">
                  <a:rPr lang="en-US" baseline="0"/>
                  <a:pPr>
                    <a:defRPr sz="1000" b="1" i="0" u="none" strike="noStrike" kern="1200" baseline="0">
                      <a:solidFill>
                        <a:schemeClr val="bg1"/>
                      </a:solidFill>
                      <a:latin typeface="+mn-lt"/>
                      <a:ea typeface="+mn-ea"/>
                      <a:cs typeface="+mn-cs"/>
                    </a:defRPr>
                  </a:pPr>
                  <a:t>[PERCENTAGE]</a:t>
                </a:fld>
                <a:endParaRPr lang="en-US" baseline="0"/>
              </a:p>
            </c:rich>
          </c:tx>
          <c:spPr>
            <a:noFill/>
            <a:ln>
              <a:noFill/>
            </a:ln>
            <a:effectLst/>
          </c:spPr>
          <c:txPr>
            <a:bodyPr rot="0" spcFirstLastPara="1" vertOverflow="ellipsis" vert="horz" wrap="square" lIns="38100" tIns="19050" rIns="38100" bIns="19050" anchor="ctr" anchorCtr="1">
              <a:noAutofit/>
            </a:bodyPr>
            <a:lstStyle/>
            <a:p>
              <a:pPr>
                <a:defRPr sz="1000" b="1" i="0" u="none" strike="noStrike" kern="1200" baseline="0">
                  <a:solidFill>
                    <a:schemeClr val="bg1"/>
                  </a:solidFill>
                  <a:latin typeface="+mn-lt"/>
                  <a:ea typeface="+mn-ea"/>
                  <a:cs typeface="+mn-cs"/>
                </a:defRPr>
              </a:pPr>
              <a:endParaRPr lang="en-US"/>
            </a:p>
          </c:txPr>
          <c:showLegendKey val="0"/>
          <c:showVal val="0"/>
          <c:showCatName val="1"/>
          <c:showSerName val="0"/>
          <c:showPercent val="1"/>
          <c:showBubbleSize val="0"/>
          <c:extLst>
            <c:ext xmlns:c15="http://schemas.microsoft.com/office/drawing/2012/chart" uri="{CE6537A1-D6FC-4f65-9D91-7224C49458BB}">
              <c15:layout>
                <c:manualLayout>
                  <c:w val="0.37351190476190477"/>
                  <c:h val="0.29761904761904762"/>
                </c:manualLayout>
              </c15:layout>
              <c15:dlblFieldTable/>
              <c15:showDataLabelsRange val="0"/>
            </c:ext>
          </c:extLst>
        </c:dLbl>
      </c:pivotFmt>
      <c:pivotFmt>
        <c:idx val="160"/>
        <c:spPr>
          <a:solidFill>
            <a:schemeClr val="accent1">
              <a:shade val="76000"/>
            </a:schemeClr>
          </a:solidFill>
          <a:ln w="19050">
            <a:solidFill>
              <a:schemeClr val="lt1"/>
            </a:solidFill>
          </a:ln>
          <a:effectLst/>
        </c:spPr>
        <c:dLbl>
          <c:idx val="0"/>
          <c:layout>
            <c:manualLayout>
              <c:x val="0.30181547619047616"/>
              <c:y val="-0.33535279243940663"/>
            </c:manualLayout>
          </c:layout>
          <c:tx>
            <c:rich>
              <a:bodyPr rot="0" spcFirstLastPara="1" vertOverflow="ellipsis" vert="horz" wrap="square" lIns="38100" tIns="19050" rIns="38100" bIns="19050" anchor="ctr" anchorCtr="1">
                <a:noAutofit/>
              </a:bodyPr>
              <a:lstStyle/>
              <a:p>
                <a:pPr>
                  <a:defRPr sz="1000" b="1" i="0" u="none" strike="noStrike" kern="1200" baseline="0">
                    <a:solidFill>
                      <a:schemeClr val="bg1"/>
                    </a:solidFill>
                    <a:latin typeface="+mn-lt"/>
                    <a:ea typeface="+mn-ea"/>
                    <a:cs typeface="+mn-cs"/>
                  </a:defRPr>
                </a:pPr>
                <a:fld id="{6006C23F-BC28-4FE8-8264-6FDC879B0BA9}" type="CATEGORYNAME">
                  <a:rPr lang="en-US"/>
                  <a:pPr>
                    <a:defRPr sz="1000" b="1" i="0" u="none" strike="noStrike" kern="1200" baseline="0">
                      <a:solidFill>
                        <a:schemeClr val="bg1"/>
                      </a:solidFill>
                      <a:latin typeface="+mn-lt"/>
                      <a:ea typeface="+mn-ea"/>
                      <a:cs typeface="+mn-cs"/>
                    </a:defRPr>
                  </a:pPr>
                  <a:t>[CATEGORY NAME]</a:t>
                </a:fld>
                <a:r>
                  <a:rPr lang="en-US" baseline="0"/>
                  <a:t> </a:t>
                </a:r>
                <a:fld id="{A71CC5E8-422A-4871-A56C-9B54EE02761C}" type="PERCENTAGE">
                  <a:rPr lang="en-US" baseline="0"/>
                  <a:pPr>
                    <a:defRPr sz="1000" b="1" i="0" u="none" strike="noStrike" kern="1200" baseline="0">
                      <a:solidFill>
                        <a:schemeClr val="bg1"/>
                      </a:solidFill>
                      <a:latin typeface="+mn-lt"/>
                      <a:ea typeface="+mn-ea"/>
                      <a:cs typeface="+mn-cs"/>
                    </a:defRPr>
                  </a:pPr>
                  <a:t>[PERCENTAGE]</a:t>
                </a:fld>
                <a:endParaRPr lang="en-US" baseline="0"/>
              </a:p>
            </c:rich>
          </c:tx>
          <c:spPr>
            <a:noFill/>
            <a:ln>
              <a:noFill/>
            </a:ln>
            <a:effectLst/>
          </c:spPr>
          <c:txPr>
            <a:bodyPr rot="0" spcFirstLastPara="1" vertOverflow="ellipsis" vert="horz" wrap="square" lIns="38100" tIns="19050" rIns="38100" bIns="19050" anchor="ctr" anchorCtr="1">
              <a:noAutofit/>
            </a:bodyPr>
            <a:lstStyle/>
            <a:p>
              <a:pPr>
                <a:defRPr sz="1000" b="1" i="0" u="none" strike="noStrike" kern="1200" baseline="0">
                  <a:solidFill>
                    <a:schemeClr val="bg1"/>
                  </a:solidFill>
                  <a:latin typeface="+mn-lt"/>
                  <a:ea typeface="+mn-ea"/>
                  <a:cs typeface="+mn-cs"/>
                </a:defRPr>
              </a:pPr>
              <a:endParaRPr lang="en-US"/>
            </a:p>
          </c:txPr>
          <c:showLegendKey val="0"/>
          <c:showVal val="1"/>
          <c:showCatName val="1"/>
          <c:showSerName val="0"/>
          <c:showPercent val="0"/>
          <c:showBubbleSize val="0"/>
          <c:extLst>
            <c:ext xmlns:c15="http://schemas.microsoft.com/office/drawing/2012/chart" uri="{CE6537A1-D6FC-4f65-9D91-7224C49458BB}">
              <c15:layout>
                <c:manualLayout>
                  <c:w val="0.41782761529808771"/>
                  <c:h val="0.19175824175824177"/>
                </c:manualLayout>
              </c15:layout>
              <c15:dlblFieldTable/>
              <c15:showDataLabelsRange val="0"/>
            </c:ext>
          </c:extLst>
        </c:dLbl>
      </c:pivotFmt>
      <c:pivotFmt>
        <c:idx val="161"/>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bg1"/>
                  </a:solidFill>
                  <a:latin typeface="+mn-lt"/>
                  <a:ea typeface="+mn-ea"/>
                  <a:cs typeface="+mn-cs"/>
                </a:defRPr>
              </a:pPr>
              <a:endParaRPr lang="en-US"/>
            </a:p>
          </c:txPr>
          <c:showLegendKey val="0"/>
          <c:showVal val="1"/>
          <c:showCatName val="1"/>
          <c:showSerName val="0"/>
          <c:showPercent val="0"/>
          <c:showBubbleSize val="0"/>
          <c:extLst>
            <c:ext xmlns:c15="http://schemas.microsoft.com/office/drawing/2012/chart" uri="{CE6537A1-D6FC-4f65-9D91-7224C49458BB}"/>
          </c:extLst>
        </c:dLbl>
      </c:pivotFmt>
      <c:pivotFmt>
        <c:idx val="162"/>
        <c:spPr>
          <a:solidFill>
            <a:schemeClr val="accent1">
              <a:tint val="77000"/>
            </a:schemeClr>
          </a:solidFill>
          <a:ln w="19050">
            <a:solidFill>
              <a:schemeClr val="lt1"/>
            </a:solidFill>
          </a:ln>
          <a:effectLst/>
        </c:spPr>
        <c:dLbl>
          <c:idx val="0"/>
          <c:layout>
            <c:manualLayout>
              <c:x val="-0.14434523809523808"/>
              <c:y val="5.3418803418803416E-2"/>
            </c:manualLayout>
          </c:layout>
          <c:tx>
            <c:rich>
              <a:bodyPr rot="0" spcFirstLastPara="1" vertOverflow="ellipsis" vert="horz" wrap="square" lIns="38100" tIns="19050" rIns="38100" bIns="19050" anchor="ctr" anchorCtr="1">
                <a:noAutofit/>
              </a:bodyPr>
              <a:lstStyle/>
              <a:p>
                <a:pPr>
                  <a:defRPr sz="1000" b="1" i="0" u="none" strike="noStrike" kern="1200" baseline="0">
                    <a:solidFill>
                      <a:schemeClr val="bg1"/>
                    </a:solidFill>
                    <a:latin typeface="+mn-lt"/>
                    <a:ea typeface="+mn-ea"/>
                    <a:cs typeface="+mn-cs"/>
                  </a:defRPr>
                </a:pPr>
                <a:fld id="{BE6E3D3E-8EB6-4EA2-8982-1A549FD7FDFA}" type="CATEGORYNAME">
                  <a:rPr lang="en-US"/>
                  <a:pPr>
                    <a:defRPr sz="1000" b="1" i="0" u="none" strike="noStrike" kern="1200" baseline="0">
                      <a:solidFill>
                        <a:schemeClr val="bg1"/>
                      </a:solidFill>
                      <a:latin typeface="+mn-lt"/>
                      <a:ea typeface="+mn-ea"/>
                      <a:cs typeface="+mn-cs"/>
                    </a:defRPr>
                  </a:pPr>
                  <a:t>[CATEGORY NAME]</a:t>
                </a:fld>
                <a:r>
                  <a:rPr lang="en-US" baseline="0"/>
                  <a:t> </a:t>
                </a:r>
                <a:fld id="{E124DEFA-D5BF-4B61-BCE8-2FC32AE8D14F}" type="PERCENTAGE">
                  <a:rPr lang="en-US" baseline="0"/>
                  <a:pPr>
                    <a:defRPr sz="1000" b="1" i="0" u="none" strike="noStrike" kern="1200" baseline="0">
                      <a:solidFill>
                        <a:schemeClr val="bg1"/>
                      </a:solidFill>
                      <a:latin typeface="+mn-lt"/>
                      <a:ea typeface="+mn-ea"/>
                      <a:cs typeface="+mn-cs"/>
                    </a:defRPr>
                  </a:pPr>
                  <a:t>[PERCENTAGE]</a:t>
                </a:fld>
                <a:endParaRPr lang="en-US" baseline="0"/>
              </a:p>
            </c:rich>
          </c:tx>
          <c:spPr>
            <a:noFill/>
            <a:ln>
              <a:noFill/>
            </a:ln>
            <a:effectLst/>
          </c:spPr>
          <c:txPr>
            <a:bodyPr rot="0" spcFirstLastPara="1" vertOverflow="ellipsis" vert="horz" wrap="square" lIns="38100" tIns="19050" rIns="38100" bIns="19050" anchor="ctr" anchorCtr="1">
              <a:noAutofit/>
            </a:bodyPr>
            <a:lstStyle/>
            <a:p>
              <a:pPr>
                <a:defRPr sz="1000" b="1" i="0" u="none" strike="noStrike" kern="1200" baseline="0">
                  <a:solidFill>
                    <a:schemeClr val="bg1"/>
                  </a:solidFill>
                  <a:latin typeface="+mn-lt"/>
                  <a:ea typeface="+mn-ea"/>
                  <a:cs typeface="+mn-cs"/>
                </a:defRPr>
              </a:pPr>
              <a:endParaRPr lang="en-US"/>
            </a:p>
          </c:txPr>
          <c:showLegendKey val="0"/>
          <c:showVal val="0"/>
          <c:showCatName val="1"/>
          <c:showSerName val="0"/>
          <c:showPercent val="1"/>
          <c:showBubbleSize val="0"/>
          <c:extLst>
            <c:ext xmlns:c15="http://schemas.microsoft.com/office/drawing/2012/chart" uri="{CE6537A1-D6FC-4f65-9D91-7224C49458BB}">
              <c15:layout>
                <c:manualLayout>
                  <c:w val="0.37351190476190477"/>
                  <c:h val="0.29761904761904762"/>
                </c:manualLayout>
              </c15:layout>
              <c15:dlblFieldTable/>
              <c15:showDataLabelsRange val="0"/>
            </c:ext>
          </c:extLst>
        </c:dLbl>
      </c:pivotFmt>
      <c:pivotFmt>
        <c:idx val="163"/>
        <c:spPr>
          <a:solidFill>
            <a:schemeClr val="accent1">
              <a:shade val="76000"/>
            </a:schemeClr>
          </a:solidFill>
          <a:ln w="19050">
            <a:solidFill>
              <a:schemeClr val="lt1"/>
            </a:solidFill>
          </a:ln>
          <a:effectLst/>
        </c:spPr>
        <c:dLbl>
          <c:idx val="0"/>
          <c:layout>
            <c:manualLayout>
              <c:x val="0.30181547619047616"/>
              <c:y val="-0.33535279243940663"/>
            </c:manualLayout>
          </c:layout>
          <c:tx>
            <c:rich>
              <a:bodyPr rot="0" spcFirstLastPara="1" vertOverflow="ellipsis" vert="horz" wrap="square" lIns="38100" tIns="19050" rIns="38100" bIns="19050" anchor="ctr" anchorCtr="1">
                <a:noAutofit/>
              </a:bodyPr>
              <a:lstStyle/>
              <a:p>
                <a:pPr>
                  <a:defRPr sz="1000" b="1" i="0" u="none" strike="noStrike" kern="1200" baseline="0">
                    <a:solidFill>
                      <a:schemeClr val="bg1"/>
                    </a:solidFill>
                    <a:latin typeface="+mn-lt"/>
                    <a:ea typeface="+mn-ea"/>
                    <a:cs typeface="+mn-cs"/>
                  </a:defRPr>
                </a:pPr>
                <a:fld id="{6006C23F-BC28-4FE8-8264-6FDC879B0BA9}" type="CATEGORYNAME">
                  <a:rPr lang="en-US"/>
                  <a:pPr>
                    <a:defRPr sz="1000" b="1" i="0" u="none" strike="noStrike" kern="1200" baseline="0">
                      <a:solidFill>
                        <a:schemeClr val="bg1"/>
                      </a:solidFill>
                      <a:latin typeface="+mn-lt"/>
                      <a:ea typeface="+mn-ea"/>
                      <a:cs typeface="+mn-cs"/>
                    </a:defRPr>
                  </a:pPr>
                  <a:t>[CATEGORY NAME]</a:t>
                </a:fld>
                <a:r>
                  <a:rPr lang="en-US" baseline="0"/>
                  <a:t> </a:t>
                </a:r>
                <a:fld id="{A71CC5E8-422A-4871-A56C-9B54EE02761C}" type="PERCENTAGE">
                  <a:rPr lang="en-US" baseline="0"/>
                  <a:pPr>
                    <a:defRPr sz="1000" b="1" i="0" u="none" strike="noStrike" kern="1200" baseline="0">
                      <a:solidFill>
                        <a:schemeClr val="bg1"/>
                      </a:solidFill>
                      <a:latin typeface="+mn-lt"/>
                      <a:ea typeface="+mn-ea"/>
                      <a:cs typeface="+mn-cs"/>
                    </a:defRPr>
                  </a:pPr>
                  <a:t>[PERCENTAGE]</a:t>
                </a:fld>
                <a:endParaRPr lang="en-US" baseline="0"/>
              </a:p>
            </c:rich>
          </c:tx>
          <c:spPr>
            <a:noFill/>
            <a:ln>
              <a:noFill/>
            </a:ln>
            <a:effectLst/>
          </c:spPr>
          <c:txPr>
            <a:bodyPr rot="0" spcFirstLastPara="1" vertOverflow="ellipsis" vert="horz" wrap="square" lIns="38100" tIns="19050" rIns="38100" bIns="19050" anchor="ctr" anchorCtr="1">
              <a:noAutofit/>
            </a:bodyPr>
            <a:lstStyle/>
            <a:p>
              <a:pPr>
                <a:defRPr sz="1000" b="1" i="0" u="none" strike="noStrike" kern="1200" baseline="0">
                  <a:solidFill>
                    <a:schemeClr val="bg1"/>
                  </a:solidFill>
                  <a:latin typeface="+mn-lt"/>
                  <a:ea typeface="+mn-ea"/>
                  <a:cs typeface="+mn-cs"/>
                </a:defRPr>
              </a:pPr>
              <a:endParaRPr lang="en-US"/>
            </a:p>
          </c:txPr>
          <c:showLegendKey val="0"/>
          <c:showVal val="1"/>
          <c:showCatName val="1"/>
          <c:showSerName val="0"/>
          <c:showPercent val="0"/>
          <c:showBubbleSize val="0"/>
          <c:extLst>
            <c:ext xmlns:c15="http://schemas.microsoft.com/office/drawing/2012/chart" uri="{CE6537A1-D6FC-4f65-9D91-7224C49458BB}">
              <c15:layout>
                <c:manualLayout>
                  <c:w val="0.41782761529808771"/>
                  <c:h val="0.19175824175824177"/>
                </c:manualLayout>
              </c15:layout>
              <c15:dlblFieldTable/>
              <c15:showDataLabelsRange val="0"/>
            </c:ext>
          </c:extLst>
        </c:dLbl>
      </c:pivotFmt>
      <c:pivotFmt>
        <c:idx val="164"/>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65"/>
        <c:spPr>
          <a:solidFill>
            <a:schemeClr val="accent1"/>
          </a:solidFill>
          <a:ln w="19050">
            <a:solidFill>
              <a:schemeClr val="lt1"/>
            </a:solidFill>
          </a:ln>
          <a:effectLst/>
        </c:spPr>
      </c:pivotFmt>
      <c:pivotFmt>
        <c:idx val="166"/>
        <c:spPr>
          <a:solidFill>
            <a:schemeClr val="accent1"/>
          </a:solidFill>
          <a:ln w="19050">
            <a:solidFill>
              <a:schemeClr val="lt1"/>
            </a:solidFill>
          </a:ln>
          <a:effectLst/>
        </c:spPr>
      </c:pivotFmt>
      <c:pivotFmt>
        <c:idx val="167"/>
        <c:spPr>
          <a:solidFill>
            <a:schemeClr val="accent1"/>
          </a:solidFill>
          <a:ln w="19050">
            <a:solidFill>
              <a:schemeClr val="lt1"/>
            </a:solid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68"/>
        <c:spPr>
          <a:solidFill>
            <a:schemeClr val="accent1"/>
          </a:solidFill>
          <a:ln w="19050">
            <a:solidFill>
              <a:schemeClr val="lt1"/>
            </a:solid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69"/>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bg1"/>
                  </a:solidFill>
                  <a:effectLst>
                    <a:outerShdw blurRad="38100" dist="19050" dir="2700000" algn="tl" rotWithShape="0">
                      <a:schemeClr val="dk1">
                        <a:alpha val="40000"/>
                      </a:schemeClr>
                    </a:outerShdw>
                  </a:effectLst>
                  <a:latin typeface="+mn-lt"/>
                  <a:ea typeface="+mn-ea"/>
                  <a:cs typeface="+mn-cs"/>
                </a:defRPr>
              </a:pPr>
              <a:endParaRPr lang="en-US"/>
            </a:p>
          </c:txPr>
          <c:dLblPos val="inBase"/>
          <c:showLegendKey val="0"/>
          <c:showVal val="0"/>
          <c:showCatName val="0"/>
          <c:showSerName val="1"/>
          <c:showPercent val="0"/>
          <c:showBubbleSize val="0"/>
          <c:extLst>
            <c:ext xmlns:c15="http://schemas.microsoft.com/office/drawing/2012/chart" uri="{CE6537A1-D6FC-4f65-9D91-7224C49458BB}"/>
          </c:extLst>
        </c:dLbl>
      </c:pivotFmt>
      <c:pivotFmt>
        <c:idx val="170"/>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71"/>
      </c:pivotFmt>
      <c:pivotFmt>
        <c:idx val="172"/>
      </c:pivotFmt>
      <c:pivotFmt>
        <c:idx val="173"/>
      </c:pivotFmt>
      <c:pivotFmt>
        <c:idx val="174"/>
      </c:pivotFmt>
      <c:pivotFmt>
        <c:idx val="175"/>
      </c:pivotFmt>
      <c:pivotFmt>
        <c:idx val="176"/>
      </c:pivotFmt>
      <c:pivotFmt>
        <c:idx val="177"/>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bg1"/>
                  </a:solidFill>
                  <a:effectLst>
                    <a:outerShdw blurRad="38100" dist="19050" dir="2700000" algn="tl" rotWithShape="0">
                      <a:schemeClr val="dk1">
                        <a:alpha val="40000"/>
                      </a:schemeClr>
                    </a:outerShdw>
                  </a:effectLst>
                  <a:latin typeface="+mn-lt"/>
                  <a:ea typeface="+mn-ea"/>
                  <a:cs typeface="+mn-cs"/>
                </a:defRPr>
              </a:pPr>
              <a:endParaRPr lang="en-US"/>
            </a:p>
          </c:txPr>
          <c:dLblPos val="inBase"/>
          <c:showLegendKey val="0"/>
          <c:showVal val="0"/>
          <c:showCatName val="0"/>
          <c:showSerName val="1"/>
          <c:showPercent val="0"/>
          <c:showBubbleSize val="0"/>
          <c:extLst>
            <c:ext xmlns:c15="http://schemas.microsoft.com/office/drawing/2012/chart" uri="{CE6537A1-D6FC-4f65-9D91-7224C49458BB}"/>
          </c:extLst>
        </c:dLbl>
      </c:pivotFmt>
      <c:pivotFmt>
        <c:idx val="178"/>
        <c:spPr>
          <a:solidFill>
            <a:schemeClr val="accent1">
              <a:tint val="77000"/>
            </a:schemeClr>
          </a:solidFill>
          <a:ln w="19050">
            <a:solidFill>
              <a:schemeClr val="lt1"/>
            </a:solidFill>
          </a:ln>
          <a:effectLst/>
        </c:spPr>
      </c:pivotFmt>
      <c:pivotFmt>
        <c:idx val="179"/>
      </c:pivotFmt>
      <c:pivotFmt>
        <c:idx val="180"/>
        <c:spPr>
          <a:solidFill>
            <a:schemeClr val="accent1">
              <a:shade val="76000"/>
            </a:schemeClr>
          </a:solidFill>
          <a:ln w="19050">
            <a:solidFill>
              <a:schemeClr val="lt1"/>
            </a:solidFill>
          </a:ln>
          <a:effectLst/>
        </c:spPr>
      </c:pivotFmt>
      <c:pivotFmt>
        <c:idx val="181"/>
      </c:pivotFmt>
      <c:pivotFmt>
        <c:idx val="182"/>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bg1"/>
                  </a:solidFill>
                  <a:effectLst>
                    <a:outerShdw blurRad="38100" dist="19050" dir="2700000" algn="tl" rotWithShape="0">
                      <a:schemeClr val="dk1">
                        <a:alpha val="40000"/>
                      </a:schemeClr>
                    </a:outerShdw>
                  </a:effectLst>
                  <a:latin typeface="+mn-lt"/>
                  <a:ea typeface="+mn-ea"/>
                  <a:cs typeface="+mn-cs"/>
                </a:defRPr>
              </a:pPr>
              <a:endParaRPr lang="en-US"/>
            </a:p>
          </c:txPr>
          <c:dLblPos val="inBase"/>
          <c:showLegendKey val="0"/>
          <c:showVal val="0"/>
          <c:showCatName val="0"/>
          <c:showSerName val="1"/>
          <c:showPercent val="0"/>
          <c:showBubbleSize val="0"/>
          <c:extLst>
            <c:ext xmlns:c15="http://schemas.microsoft.com/office/drawing/2012/chart" uri="{CE6537A1-D6FC-4f65-9D91-7224C49458BB}"/>
          </c:extLst>
        </c:dLbl>
      </c:pivotFmt>
      <c:pivotFmt>
        <c:idx val="183"/>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bg1"/>
                  </a:solidFill>
                  <a:effectLst>
                    <a:outerShdw blurRad="38100" dist="19050" dir="2700000" algn="tl" rotWithShape="0">
                      <a:schemeClr val="dk1">
                        <a:alpha val="40000"/>
                      </a:schemeClr>
                    </a:outerShdw>
                  </a:effectLst>
                  <a:latin typeface="+mn-lt"/>
                  <a:ea typeface="+mn-ea"/>
                  <a:cs typeface="+mn-cs"/>
                </a:defRPr>
              </a:pPr>
              <a:endParaRPr lang="en-US"/>
            </a:p>
          </c:txPr>
          <c:dLblPos val="inBase"/>
          <c:showLegendKey val="0"/>
          <c:showVal val="0"/>
          <c:showCatName val="0"/>
          <c:showSerName val="1"/>
          <c:showPercent val="0"/>
          <c:showBubbleSize val="0"/>
          <c:extLst>
            <c:ext xmlns:c15="http://schemas.microsoft.com/office/drawing/2012/chart" uri="{CE6537A1-D6FC-4f65-9D91-7224C49458BB}"/>
          </c:extLst>
        </c:dLbl>
      </c:pivotFmt>
      <c:pivotFmt>
        <c:idx val="184"/>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bg1"/>
                  </a:solidFill>
                  <a:effectLst>
                    <a:outerShdw blurRad="38100" dist="19050" dir="2700000" algn="tl" rotWithShape="0">
                      <a:schemeClr val="dk1">
                        <a:alpha val="40000"/>
                      </a:schemeClr>
                    </a:outerShdw>
                  </a:effectLst>
                  <a:latin typeface="+mn-lt"/>
                  <a:ea typeface="+mn-ea"/>
                  <a:cs typeface="+mn-cs"/>
                </a:defRPr>
              </a:pPr>
              <a:endParaRPr lang="en-US"/>
            </a:p>
          </c:txPr>
          <c:dLblPos val="inBase"/>
          <c:showLegendKey val="0"/>
          <c:showVal val="0"/>
          <c:showCatName val="0"/>
          <c:showSerName val="1"/>
          <c:showPercent val="0"/>
          <c:showBubbleSize val="0"/>
          <c:extLst>
            <c:ext xmlns:c15="http://schemas.microsoft.com/office/drawing/2012/chart" uri="{CE6537A1-D6FC-4f65-9D91-7224C49458BB}"/>
          </c:extLst>
        </c:dLbl>
      </c:pivotFmt>
      <c:pivotFmt>
        <c:idx val="185"/>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bg1"/>
                  </a:solidFill>
                  <a:effectLst>
                    <a:outerShdw blurRad="38100" dist="19050" dir="2700000" algn="tl" rotWithShape="0">
                      <a:schemeClr val="dk1">
                        <a:alpha val="40000"/>
                      </a:schemeClr>
                    </a:outerShdw>
                  </a:effectLst>
                  <a:latin typeface="+mn-lt"/>
                  <a:ea typeface="+mn-ea"/>
                  <a:cs typeface="+mn-cs"/>
                </a:defRPr>
              </a:pPr>
              <a:endParaRPr lang="en-US"/>
            </a:p>
          </c:txPr>
          <c:dLblPos val="inBase"/>
          <c:showLegendKey val="0"/>
          <c:showVal val="0"/>
          <c:showCatName val="0"/>
          <c:showSerName val="1"/>
          <c:showPercent val="0"/>
          <c:showBubbleSize val="0"/>
          <c:extLst>
            <c:ext xmlns:c15="http://schemas.microsoft.com/office/drawing/2012/chart" uri="{CE6537A1-D6FC-4f65-9D91-7224C49458BB}"/>
          </c:extLst>
        </c:dLbl>
      </c:pivotFmt>
      <c:pivotFmt>
        <c:idx val="186"/>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87"/>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bg1"/>
                  </a:solidFill>
                  <a:effectLst>
                    <a:outerShdw blurRad="38100" dist="19050" dir="2700000" algn="tl" rotWithShape="0">
                      <a:schemeClr val="dk1">
                        <a:alpha val="40000"/>
                      </a:schemeClr>
                    </a:outerShdw>
                  </a:effectLst>
                  <a:latin typeface="+mn-lt"/>
                  <a:ea typeface="+mn-ea"/>
                  <a:cs typeface="+mn-cs"/>
                </a:defRPr>
              </a:pPr>
              <a:endParaRPr lang="en-US"/>
            </a:p>
          </c:txPr>
          <c:dLblPos val="inBase"/>
          <c:showLegendKey val="0"/>
          <c:showVal val="0"/>
          <c:showCatName val="0"/>
          <c:showSerName val="1"/>
          <c:showPercent val="0"/>
          <c:showBubbleSize val="0"/>
          <c:extLst>
            <c:ext xmlns:c15="http://schemas.microsoft.com/office/drawing/2012/chart" uri="{CE6537A1-D6FC-4f65-9D91-7224C49458BB}"/>
          </c:extLst>
        </c:dLbl>
      </c:pivotFmt>
      <c:pivotFmt>
        <c:idx val="188"/>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bg1"/>
                  </a:solidFill>
                  <a:effectLst>
                    <a:outerShdw blurRad="38100" dist="19050" dir="2700000" algn="tl" rotWithShape="0">
                      <a:schemeClr val="dk1">
                        <a:alpha val="40000"/>
                      </a:schemeClr>
                    </a:outerShdw>
                  </a:effectLst>
                  <a:latin typeface="+mn-lt"/>
                  <a:ea typeface="+mn-ea"/>
                  <a:cs typeface="+mn-cs"/>
                </a:defRPr>
              </a:pPr>
              <a:endParaRPr lang="en-US"/>
            </a:p>
          </c:txPr>
          <c:dLblPos val="inBase"/>
          <c:showLegendKey val="0"/>
          <c:showVal val="0"/>
          <c:showCatName val="0"/>
          <c:showSerName val="1"/>
          <c:showPercent val="0"/>
          <c:showBubbleSize val="0"/>
          <c:extLst>
            <c:ext xmlns:c15="http://schemas.microsoft.com/office/drawing/2012/chart" uri="{CE6537A1-D6FC-4f65-9D91-7224C49458BB}"/>
          </c:extLst>
        </c:dLbl>
      </c:pivotFmt>
      <c:pivotFmt>
        <c:idx val="189"/>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l"/>
          <c:showLegendKey val="0"/>
          <c:showVal val="0"/>
          <c:showCatName val="0"/>
          <c:showSerName val="0"/>
          <c:showPercent val="0"/>
          <c:showBubbleSize val="0"/>
          <c:extLst>
            <c:ext xmlns:c15="http://schemas.microsoft.com/office/drawing/2012/chart" uri="{CE6537A1-D6FC-4f65-9D91-7224C49458BB}"/>
          </c:extLst>
        </c:dLbl>
      </c:pivotFmt>
      <c:pivotFmt>
        <c:idx val="19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l"/>
          <c:showLegendKey val="0"/>
          <c:showVal val="0"/>
          <c:showCatName val="0"/>
          <c:showSerName val="0"/>
          <c:showPercent val="0"/>
          <c:showBubbleSize val="0"/>
          <c:extLst>
            <c:ext xmlns:c15="http://schemas.microsoft.com/office/drawing/2012/chart" uri="{CE6537A1-D6FC-4f65-9D91-7224C49458BB}"/>
          </c:extLst>
        </c:dLbl>
      </c:pivotFmt>
      <c:pivotFmt>
        <c:idx val="191"/>
        <c:spPr>
          <a:solidFill>
            <a:schemeClr val="accent1"/>
          </a:solidFill>
          <a:ln w="19050" cap="rnd">
            <a:solidFill>
              <a:schemeClr val="accent1"/>
            </a:solidFill>
            <a:round/>
          </a:ln>
          <a:effectLst/>
        </c:spPr>
        <c:marker>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92"/>
      </c:pivotFmt>
      <c:pivotFmt>
        <c:idx val="193"/>
      </c:pivotFmt>
      <c:pivotFmt>
        <c:idx val="194"/>
      </c:pivotFmt>
      <c:pivotFmt>
        <c:idx val="195"/>
      </c:pivotFmt>
      <c:pivotFmt>
        <c:idx val="196"/>
      </c:pivotFmt>
      <c:pivotFmt>
        <c:idx val="197"/>
      </c:pivotFmt>
      <c:pivotFmt>
        <c:idx val="198"/>
      </c:pivotFmt>
      <c:pivotFmt>
        <c:idx val="199"/>
      </c:pivotFmt>
      <c:pivotFmt>
        <c:idx val="200"/>
      </c:pivotFmt>
      <c:pivotFmt>
        <c:idx val="201"/>
      </c:pivotFmt>
      <c:pivotFmt>
        <c:idx val="202"/>
      </c:pivotFmt>
      <c:pivotFmt>
        <c:idx val="203"/>
      </c:pivotFmt>
      <c:pivotFmt>
        <c:idx val="204"/>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l"/>
          <c:showLegendKey val="0"/>
          <c:showVal val="0"/>
          <c:showCatName val="0"/>
          <c:showSerName val="0"/>
          <c:showPercent val="0"/>
          <c:showBubbleSize val="0"/>
          <c:extLst>
            <c:ext xmlns:c15="http://schemas.microsoft.com/office/drawing/2012/chart" uri="{CE6537A1-D6FC-4f65-9D91-7224C49458BB}"/>
          </c:extLst>
        </c:dLbl>
      </c:pivotFmt>
      <c:pivotFmt>
        <c:idx val="205"/>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06"/>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l"/>
          <c:showLegendKey val="0"/>
          <c:showVal val="0"/>
          <c:showCatName val="0"/>
          <c:showSerName val="0"/>
          <c:showPercent val="0"/>
          <c:showBubbleSize val="0"/>
          <c:extLst>
            <c:ext xmlns:c15="http://schemas.microsoft.com/office/drawing/2012/chart" uri="{CE6537A1-D6FC-4f65-9D91-7224C49458BB}"/>
          </c:extLst>
        </c:dLbl>
      </c:pivotFmt>
      <c:pivotFmt>
        <c:idx val="207"/>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l"/>
          <c:showLegendKey val="0"/>
          <c:showVal val="0"/>
          <c:showCatName val="0"/>
          <c:showSerName val="0"/>
          <c:showPercent val="0"/>
          <c:showBubbleSize val="0"/>
          <c:extLst>
            <c:ext xmlns:c15="http://schemas.microsoft.com/office/drawing/2012/chart" uri="{CE6537A1-D6FC-4f65-9D91-7224C49458BB}"/>
          </c:extLst>
        </c:dLbl>
      </c:pivotFmt>
      <c:pivotFmt>
        <c:idx val="208"/>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l"/>
          <c:showLegendKey val="0"/>
          <c:showVal val="0"/>
          <c:showCatName val="0"/>
          <c:showSerName val="0"/>
          <c:showPercent val="0"/>
          <c:showBubbleSize val="0"/>
          <c:extLst>
            <c:ext xmlns:c15="http://schemas.microsoft.com/office/drawing/2012/chart" uri="{CE6537A1-D6FC-4f65-9D91-7224C49458BB}"/>
          </c:extLst>
        </c:dLbl>
      </c:pivotFmt>
      <c:pivotFmt>
        <c:idx val="209"/>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10"/>
        <c:spPr>
          <a:ln w="28575" cap="rnd">
            <a:solidFill>
              <a:schemeClr val="bg1">
                <a:lumMod val="75000"/>
              </a:schemeClr>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11"/>
      </c:pivotFmt>
      <c:pivotFmt>
        <c:idx val="212"/>
        <c:spPr>
          <a:solidFill>
            <a:schemeClr val="accent1"/>
          </a:solidFill>
          <a:ln w="28575" cap="rnd">
            <a:solidFill>
              <a:srgbClr val="415F9D"/>
            </a:solidFill>
            <a:round/>
          </a:ln>
          <a:effectLst/>
        </c:spPr>
        <c:marker>
          <c:symbol val="none"/>
        </c:marker>
      </c:pivotFmt>
      <c:pivotFmt>
        <c:idx val="213"/>
        <c:spPr>
          <a:solidFill>
            <a:schemeClr val="accent1"/>
          </a:solidFill>
          <a:ln w="28575" cap="rnd">
            <a:solidFill>
              <a:srgbClr val="415F9D"/>
            </a:solidFill>
            <a:round/>
          </a:ln>
          <a:effectLst/>
        </c:spPr>
        <c:marker>
          <c:symbol val="none"/>
        </c:marker>
      </c:pivotFmt>
      <c:pivotFmt>
        <c:idx val="214"/>
      </c:pivotFmt>
      <c:pivotFmt>
        <c:idx val="215"/>
        <c:spPr>
          <a:ln w="28575" cap="rnd">
            <a:solidFill>
              <a:schemeClr val="accent1"/>
            </a:solidFill>
            <a:round/>
          </a:ln>
          <a:effectLst/>
        </c:spPr>
        <c:marker>
          <c:symbol val="none"/>
        </c:marker>
      </c:pivotFmt>
      <c:pivotFmt>
        <c:idx val="216"/>
        <c:spPr>
          <a:ln w="28575" cap="rnd">
            <a:solidFill>
              <a:schemeClr val="accent1"/>
            </a:solidFill>
            <a:round/>
          </a:ln>
          <a:effectLst/>
        </c:spPr>
        <c:marker>
          <c:symbol val="none"/>
        </c:marker>
      </c:pivotFmt>
      <c:pivotFmt>
        <c:idx val="217"/>
        <c:spPr>
          <a:ln w="28575" cap="rnd">
            <a:solidFill>
              <a:schemeClr val="accent1"/>
            </a:solidFill>
            <a:round/>
          </a:ln>
          <a:effectLst/>
        </c:spPr>
        <c:marker>
          <c:symbol val="none"/>
        </c:marker>
      </c:pivotFmt>
      <c:pivotFmt>
        <c:idx val="218"/>
        <c:spPr>
          <a:ln w="28575" cap="rnd">
            <a:solidFill>
              <a:schemeClr val="accent1"/>
            </a:solidFill>
            <a:round/>
          </a:ln>
          <a:effectLst/>
        </c:spPr>
        <c:marker>
          <c:symbol val="none"/>
        </c:marker>
      </c:pivotFmt>
      <c:pivotFmt>
        <c:idx val="219"/>
        <c:spPr>
          <a:ln w="28575" cap="rnd">
            <a:solidFill>
              <a:schemeClr val="bg1">
                <a:lumMod val="75000"/>
              </a:schemeClr>
            </a:solidFill>
            <a:round/>
          </a:ln>
          <a:effectLst/>
        </c:spPr>
        <c:marker>
          <c:symbol val="none"/>
        </c:marker>
      </c:pivotFmt>
      <c:pivotFmt>
        <c:idx val="220"/>
        <c:spPr>
          <a:ln w="28575" cap="rnd">
            <a:solidFill>
              <a:schemeClr val="bg1">
                <a:lumMod val="75000"/>
              </a:schemeClr>
            </a:solidFill>
            <a:round/>
          </a:ln>
          <a:effectLst/>
        </c:spPr>
        <c:marker>
          <c:symbol val="none"/>
        </c:marker>
      </c:pivotFmt>
      <c:pivotFmt>
        <c:idx val="221"/>
        <c:spPr>
          <a:ln w="28575" cap="rnd">
            <a:solidFill>
              <a:schemeClr val="bg1">
                <a:lumMod val="75000"/>
              </a:schemeClr>
            </a:solidFill>
            <a:round/>
          </a:ln>
          <a:effectLst/>
        </c:spPr>
        <c:marker>
          <c:symbol val="none"/>
        </c:marker>
      </c:pivotFmt>
      <c:pivotFmt>
        <c:idx val="222"/>
        <c:spPr>
          <a:ln w="28575" cap="rnd">
            <a:solidFill>
              <a:schemeClr val="bg1">
                <a:lumMod val="75000"/>
              </a:schemeClr>
            </a:solidFill>
            <a:round/>
          </a:ln>
          <a:effectLst/>
        </c:spPr>
        <c:marker>
          <c:symbol val="none"/>
        </c:marker>
      </c:pivotFmt>
      <c:pivotFmt>
        <c:idx val="223"/>
      </c:pivotFmt>
    </c:pivotFmts>
    <c:plotArea>
      <c:layout>
        <c:manualLayout>
          <c:layoutTarget val="inner"/>
          <c:xMode val="edge"/>
          <c:yMode val="edge"/>
          <c:x val="0.10136442958071101"/>
          <c:y val="0.14844824874949411"/>
          <c:w val="0.8666565536834776"/>
          <c:h val="0.72226469858950526"/>
        </c:manualLayout>
      </c:layout>
      <c:lineChart>
        <c:grouping val="standard"/>
        <c:varyColors val="0"/>
        <c:ser>
          <c:idx val="0"/>
          <c:order val="0"/>
          <c:tx>
            <c:strRef>
              <c:f>'Line - total IN.OUT'!$B$3:$B$4</c:f>
              <c:strCache>
                <c:ptCount val="1"/>
                <c:pt idx="0">
                  <c:v>Expense</c:v>
                </c:pt>
              </c:strCache>
            </c:strRef>
          </c:tx>
          <c:spPr>
            <a:ln w="28575" cap="rnd">
              <a:solidFill>
                <a:schemeClr val="accent1"/>
              </a:solidFill>
              <a:round/>
            </a:ln>
            <a:effectLst/>
          </c:spPr>
          <c:marker>
            <c:symbol val="none"/>
          </c:marker>
          <c:dPt>
            <c:idx val="0"/>
            <c:marker>
              <c:symbol val="none"/>
            </c:marker>
            <c:bubble3D val="0"/>
            <c:spPr>
              <a:ln w="28575" cap="rnd">
                <a:solidFill>
                  <a:schemeClr val="accent1"/>
                </a:solidFill>
                <a:round/>
              </a:ln>
              <a:effectLst/>
            </c:spPr>
            <c:extLst>
              <c:ext xmlns:c16="http://schemas.microsoft.com/office/drawing/2014/chart" uri="{C3380CC4-5D6E-409C-BE32-E72D297353CC}">
                <c16:uniqueId val="{00000009-0D71-49F7-8639-55C5A56000B5}"/>
              </c:ext>
            </c:extLst>
          </c:dPt>
          <c:dPt>
            <c:idx val="1"/>
            <c:marker>
              <c:symbol val="none"/>
            </c:marker>
            <c:bubble3D val="0"/>
            <c:spPr>
              <a:ln w="28575" cap="rnd">
                <a:solidFill>
                  <a:schemeClr val="accent1"/>
                </a:solidFill>
                <a:round/>
              </a:ln>
              <a:effectLst/>
            </c:spPr>
            <c:extLst>
              <c:ext xmlns:c16="http://schemas.microsoft.com/office/drawing/2014/chart" uri="{C3380CC4-5D6E-409C-BE32-E72D297353CC}">
                <c16:uniqueId val="{00000008-0D71-49F7-8639-55C5A56000B5}"/>
              </c:ext>
            </c:extLst>
          </c:dPt>
          <c:dPt>
            <c:idx val="2"/>
            <c:marker>
              <c:symbol val="none"/>
            </c:marker>
            <c:bubble3D val="0"/>
            <c:spPr>
              <a:ln w="28575" cap="rnd">
                <a:solidFill>
                  <a:schemeClr val="accent1"/>
                </a:solidFill>
                <a:round/>
              </a:ln>
              <a:effectLst/>
            </c:spPr>
            <c:extLst>
              <c:ext xmlns:c16="http://schemas.microsoft.com/office/drawing/2014/chart" uri="{C3380CC4-5D6E-409C-BE32-E72D297353CC}">
                <c16:uniqueId val="{00000007-0D71-49F7-8639-55C5A56000B5}"/>
              </c:ext>
            </c:extLst>
          </c:dPt>
          <c:cat>
            <c:strRef>
              <c:f>'Line - total IN.OUT'!$A$5:$A$10</c:f>
              <c:strCache>
                <c:ptCount val="5"/>
                <c:pt idx="0">
                  <c:v>Jan</c:v>
                </c:pt>
                <c:pt idx="1">
                  <c:v>Feb</c:v>
                </c:pt>
                <c:pt idx="2">
                  <c:v>Mar</c:v>
                </c:pt>
                <c:pt idx="3">
                  <c:v>Apr</c:v>
                </c:pt>
                <c:pt idx="4">
                  <c:v>May</c:v>
                </c:pt>
              </c:strCache>
            </c:strRef>
          </c:cat>
          <c:val>
            <c:numRef>
              <c:f>'Line - total IN.OUT'!$B$5:$B$10</c:f>
              <c:numCache>
                <c:formatCode>#,##0\ [$Kč-405]</c:formatCode>
                <c:ptCount val="5"/>
                <c:pt idx="0">
                  <c:v>65862</c:v>
                </c:pt>
                <c:pt idx="1">
                  <c:v>50077</c:v>
                </c:pt>
                <c:pt idx="2">
                  <c:v>54062</c:v>
                </c:pt>
                <c:pt idx="3">
                  <c:v>47488</c:v>
                </c:pt>
                <c:pt idx="4">
                  <c:v>47488</c:v>
                </c:pt>
              </c:numCache>
            </c:numRef>
          </c:val>
          <c:smooth val="0"/>
          <c:extLst>
            <c:ext xmlns:c16="http://schemas.microsoft.com/office/drawing/2014/chart" uri="{C3380CC4-5D6E-409C-BE32-E72D297353CC}">
              <c16:uniqueId val="{00000000-1AA6-4529-BD15-C88620F68D5B}"/>
            </c:ext>
          </c:extLst>
        </c:ser>
        <c:ser>
          <c:idx val="1"/>
          <c:order val="1"/>
          <c:tx>
            <c:strRef>
              <c:f>'Line - total IN.OUT'!$C$3:$C$4</c:f>
              <c:strCache>
                <c:ptCount val="1"/>
                <c:pt idx="0">
                  <c:v>Income</c:v>
                </c:pt>
              </c:strCache>
            </c:strRef>
          </c:tx>
          <c:spPr>
            <a:ln w="28575" cap="rnd">
              <a:solidFill>
                <a:schemeClr val="bg1">
                  <a:lumMod val="75000"/>
                </a:schemeClr>
              </a:solidFill>
              <a:round/>
            </a:ln>
            <a:effectLst/>
          </c:spPr>
          <c:marker>
            <c:symbol val="none"/>
          </c:marker>
          <c:dPt>
            <c:idx val="0"/>
            <c:marker>
              <c:symbol val="none"/>
            </c:marker>
            <c:bubble3D val="0"/>
            <c:spPr>
              <a:ln w="28575" cap="rnd">
                <a:solidFill>
                  <a:schemeClr val="bg1">
                    <a:lumMod val="75000"/>
                  </a:schemeClr>
                </a:solidFill>
                <a:round/>
              </a:ln>
              <a:effectLst/>
            </c:spPr>
            <c:extLst>
              <c:ext xmlns:c16="http://schemas.microsoft.com/office/drawing/2014/chart" uri="{C3380CC4-5D6E-409C-BE32-E72D297353CC}">
                <c16:uniqueId val="{00000005-0D71-49F7-8639-55C5A56000B5}"/>
              </c:ext>
            </c:extLst>
          </c:dPt>
          <c:dPt>
            <c:idx val="1"/>
            <c:marker>
              <c:symbol val="none"/>
            </c:marker>
            <c:bubble3D val="0"/>
            <c:spPr>
              <a:ln w="28575" cap="rnd">
                <a:solidFill>
                  <a:schemeClr val="bg1">
                    <a:lumMod val="75000"/>
                  </a:schemeClr>
                </a:solidFill>
                <a:round/>
              </a:ln>
              <a:effectLst/>
            </c:spPr>
            <c:extLst>
              <c:ext xmlns:c16="http://schemas.microsoft.com/office/drawing/2014/chart" uri="{C3380CC4-5D6E-409C-BE32-E72D297353CC}">
                <c16:uniqueId val="{00000001-E635-49B5-A5B7-5CA9C86726F9}"/>
              </c:ext>
            </c:extLst>
          </c:dPt>
          <c:dPt>
            <c:idx val="2"/>
            <c:marker>
              <c:symbol val="none"/>
            </c:marker>
            <c:bubble3D val="0"/>
            <c:spPr>
              <a:ln w="28575" cap="rnd">
                <a:solidFill>
                  <a:schemeClr val="bg1">
                    <a:lumMod val="75000"/>
                  </a:schemeClr>
                </a:solidFill>
                <a:round/>
              </a:ln>
              <a:effectLst/>
            </c:spPr>
            <c:extLst>
              <c:ext xmlns:c16="http://schemas.microsoft.com/office/drawing/2014/chart" uri="{C3380CC4-5D6E-409C-BE32-E72D297353CC}">
                <c16:uniqueId val="{00000000-E635-49B5-A5B7-5CA9C86726F9}"/>
              </c:ext>
            </c:extLst>
          </c:dPt>
          <c:cat>
            <c:strRef>
              <c:f>'Line - total IN.OUT'!$A$5:$A$10</c:f>
              <c:strCache>
                <c:ptCount val="5"/>
                <c:pt idx="0">
                  <c:v>Jan</c:v>
                </c:pt>
                <c:pt idx="1">
                  <c:v>Feb</c:v>
                </c:pt>
                <c:pt idx="2">
                  <c:v>Mar</c:v>
                </c:pt>
                <c:pt idx="3">
                  <c:v>Apr</c:v>
                </c:pt>
                <c:pt idx="4">
                  <c:v>May</c:v>
                </c:pt>
              </c:strCache>
            </c:strRef>
          </c:cat>
          <c:val>
            <c:numRef>
              <c:f>'Line - total IN.OUT'!$C$5:$C$10</c:f>
              <c:numCache>
                <c:formatCode>#,##0\ [$Kč-405]</c:formatCode>
                <c:ptCount val="5"/>
                <c:pt idx="0">
                  <c:v>93300</c:v>
                </c:pt>
                <c:pt idx="1">
                  <c:v>93300</c:v>
                </c:pt>
                <c:pt idx="2">
                  <c:v>109000</c:v>
                </c:pt>
                <c:pt idx="3">
                  <c:v>103000</c:v>
                </c:pt>
                <c:pt idx="4">
                  <c:v>103000</c:v>
                </c:pt>
              </c:numCache>
            </c:numRef>
          </c:val>
          <c:smooth val="0"/>
          <c:extLst>
            <c:ext xmlns:c16="http://schemas.microsoft.com/office/drawing/2014/chart" uri="{C3380CC4-5D6E-409C-BE32-E72D297353CC}">
              <c16:uniqueId val="{00000005-CE7B-4CB8-B42A-52929CBBDAFE}"/>
            </c:ext>
          </c:extLst>
        </c:ser>
        <c:dLbls>
          <c:showLegendKey val="0"/>
          <c:showVal val="0"/>
          <c:showCatName val="0"/>
          <c:showSerName val="0"/>
          <c:showPercent val="0"/>
          <c:showBubbleSize val="0"/>
        </c:dLbls>
        <c:smooth val="0"/>
        <c:axId val="1699953808"/>
        <c:axId val="1699969648"/>
      </c:lineChart>
      <c:catAx>
        <c:axId val="1699953808"/>
        <c:scaling>
          <c:orientation val="minMax"/>
        </c:scaling>
        <c:delete val="0"/>
        <c:axPos val="b"/>
        <c:numFmt formatCode="General"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699969648"/>
        <c:crosses val="autoZero"/>
        <c:auto val="1"/>
        <c:lblAlgn val="ctr"/>
        <c:lblOffset val="100"/>
        <c:noMultiLvlLbl val="0"/>
      </c:catAx>
      <c:valAx>
        <c:axId val="1699969648"/>
        <c:scaling>
          <c:orientation val="minMax"/>
        </c:scaling>
        <c:delete val="0"/>
        <c:axPos val="l"/>
        <c:majorGridlines>
          <c:spPr>
            <a:ln w="9525" cap="flat" cmpd="sng" algn="ctr">
              <a:solidFill>
                <a:schemeClr val="tx1">
                  <a:lumMod val="15000"/>
                  <a:lumOff val="85000"/>
                </a:schemeClr>
              </a:solidFill>
              <a:round/>
            </a:ln>
            <a:effectLst/>
          </c:spPr>
        </c:majorGridlines>
        <c:numFmt formatCode="#,##0\ [$Kč-405]"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699953808"/>
        <c:crosses val="autoZero"/>
        <c:crossBetween val="between"/>
      </c:valAx>
      <c:spPr>
        <a:noFill/>
        <a:ln>
          <a:noFill/>
        </a:ln>
        <a:effectLst/>
      </c:spPr>
    </c:plotArea>
    <c:legend>
      <c:legendPos val="r"/>
      <c:layout>
        <c:manualLayout>
          <c:xMode val="edge"/>
          <c:yMode val="edge"/>
          <c:x val="0.83298062287270136"/>
          <c:y val="1.8720000552110611E-2"/>
          <c:w val="0.15541528101842844"/>
          <c:h val="0.11112606410694383"/>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12700" cap="flat" cmpd="sng" algn="ctr">
      <a:solidFill>
        <a:schemeClr val="bg1">
          <a:lumMod val="65000"/>
        </a:schemeClr>
      </a:solidFill>
      <a:round/>
    </a:ln>
    <a:effectLst/>
  </c:spPr>
  <c:txPr>
    <a:bodyPr/>
    <a:lstStyle/>
    <a:p>
      <a:pPr>
        <a:defRPr/>
      </a:pPr>
      <a:endParaRPr lang="en-US"/>
    </a:p>
  </c:txPr>
  <c:printSettings>
    <c:headerFooter/>
    <c:pageMargins b="0.75" l="0.7" r="0.7" t="0.75" header="0.3" footer="0.3"/>
    <c:pageSetup orientation="portrait"/>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[expense_tracker.xlsm]Bar - cat. by month!Category</c:name>
    <c:fmtId val="9"/>
  </c:pivotSource>
  <c:chart>
    <c:title>
      <c:layout>
        <c:manualLayout>
          <c:xMode val="edge"/>
          <c:yMode val="edge"/>
          <c:x val="0.43873859803638726"/>
          <c:y val="2.3779019883098967E-2"/>
        </c:manualLayout>
      </c:layout>
      <c:overlay val="0"/>
      <c:txPr>
        <a:bodyPr/>
        <a:lstStyle/>
        <a:p>
          <a:pPr>
            <a:defRPr sz="1200" baseline="0">
              <a:solidFill>
                <a:schemeClr val="tx1">
                  <a:lumMod val="65000"/>
                  <a:lumOff val="35000"/>
                </a:schemeClr>
              </a:solidFill>
            </a:defRPr>
          </a:pPr>
          <a:endParaRPr lang="en-US"/>
        </a:p>
      </c:txPr>
    </c:title>
    <c:autoTitleDeleted val="0"/>
    <c:pivotFmts>
      <c:pivotFmt>
        <c:idx val="0"/>
        <c:spPr>
          <a:solidFill>
            <a:schemeClr val="accent1"/>
          </a:solidFill>
          <a:ln>
            <a:noFill/>
          </a:ln>
          <a:effectLst/>
        </c:spPr>
        <c:marker>
          <c:symbol val="none"/>
        </c:marker>
        <c:dLbl>
          <c:idx val="0"/>
          <c:delete val="1"/>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delete val="1"/>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delete val="1"/>
          <c:extLst>
            <c:ext xmlns:c15="http://schemas.microsoft.com/office/drawing/2012/chart" uri="{CE6537A1-D6FC-4f65-9D91-7224C49458BB}"/>
          </c:extLst>
        </c:dLbl>
      </c:pivotFmt>
      <c:pivotFmt>
        <c:idx val="3"/>
        <c:spPr>
          <a:solidFill>
            <a:schemeClr val="accent1"/>
          </a:solidFill>
          <a:ln>
            <a:noFill/>
          </a:ln>
          <a:effectLst/>
        </c:spPr>
        <c:marker>
          <c:symbol val="none"/>
        </c:marker>
        <c:dLbl>
          <c:idx val="0"/>
          <c:delete val="1"/>
          <c:extLst>
            <c:ext xmlns:c15="http://schemas.microsoft.com/office/drawing/2012/chart" uri="{CE6537A1-D6FC-4f65-9D91-7224C49458BB}"/>
          </c:extLst>
        </c:dLbl>
      </c:pivotFmt>
      <c:pivotFmt>
        <c:idx val="4"/>
        <c:spPr>
          <a:solidFill>
            <a:schemeClr val="accent1"/>
          </a:solidFill>
          <a:ln>
            <a:noFill/>
          </a:ln>
          <a:effectLst/>
        </c:spPr>
        <c:marker>
          <c:symbol val="none"/>
        </c:marker>
        <c:dLbl>
          <c:idx val="0"/>
          <c:delete val="1"/>
          <c:extLst>
            <c:ext xmlns:c15="http://schemas.microsoft.com/office/drawing/2012/chart" uri="{CE6537A1-D6FC-4f65-9D91-7224C49458BB}"/>
          </c:extLst>
        </c:dLbl>
      </c:pivotFmt>
      <c:pivotFmt>
        <c:idx val="5"/>
        <c:spPr>
          <a:solidFill>
            <a:schemeClr val="accent1"/>
          </a:solidFill>
          <a:ln>
            <a:noFill/>
          </a:ln>
          <a:effectLst/>
        </c:spPr>
        <c:marker>
          <c:symbol val="none"/>
        </c:marker>
        <c:dLbl>
          <c:idx val="0"/>
          <c:delete val="1"/>
          <c:extLst>
            <c:ext xmlns:c15="http://schemas.microsoft.com/office/drawing/2012/chart" uri="{CE6537A1-D6FC-4f65-9D91-7224C49458BB}"/>
          </c:extLst>
        </c:dLbl>
      </c:pivotFmt>
      <c:pivotFmt>
        <c:idx val="6"/>
        <c:spPr>
          <a:solidFill>
            <a:schemeClr val="accent1"/>
          </a:solidFill>
          <a:ln>
            <a:noFill/>
          </a:ln>
          <a:effectLst/>
        </c:spPr>
        <c:marker>
          <c:symbol val="none"/>
        </c:marker>
        <c:dLbl>
          <c:idx val="0"/>
          <c:delete val="1"/>
          <c:extLst>
            <c:ext xmlns:c15="http://schemas.microsoft.com/office/drawing/2012/chart" uri="{CE6537A1-D6FC-4f65-9D91-7224C49458BB}"/>
          </c:extLst>
        </c:dLbl>
      </c:pivotFmt>
      <c:pivotFmt>
        <c:idx val="7"/>
        <c:spPr>
          <a:solidFill>
            <a:schemeClr val="accent1"/>
          </a:solidFill>
          <a:ln>
            <a:noFill/>
          </a:ln>
          <a:effectLst/>
        </c:spPr>
        <c:marker>
          <c:symbol val="none"/>
        </c:marker>
        <c:dLbl>
          <c:idx val="0"/>
          <c:delete val="1"/>
          <c:extLst>
            <c:ext xmlns:c15="http://schemas.microsoft.com/office/drawing/2012/chart" uri="{CE6537A1-D6FC-4f65-9D91-7224C49458BB}"/>
          </c:extLst>
        </c:dLbl>
      </c:pivotFmt>
      <c:pivotFmt>
        <c:idx val="8"/>
        <c:spPr>
          <a:solidFill>
            <a:schemeClr val="accent1"/>
          </a:solidFill>
          <a:ln>
            <a:noFill/>
          </a:ln>
          <a:effectLst/>
        </c:spPr>
        <c:marker>
          <c:symbol val="none"/>
        </c:marker>
        <c:dLbl>
          <c:idx val="0"/>
          <c:delete val="1"/>
          <c:extLst>
            <c:ext xmlns:c15="http://schemas.microsoft.com/office/drawing/2012/chart" uri="{CE6537A1-D6FC-4f65-9D91-7224C49458BB}"/>
          </c:extLst>
        </c:dLbl>
      </c:pivotFmt>
      <c:pivotFmt>
        <c:idx val="9"/>
        <c:spPr>
          <a:solidFill>
            <a:schemeClr val="accent1"/>
          </a:solidFill>
          <a:ln>
            <a:noFill/>
          </a:ln>
          <a:effectLst/>
        </c:spPr>
        <c:marker>
          <c:symbol val="none"/>
        </c:marker>
        <c:dLbl>
          <c:idx val="0"/>
          <c:delete val="1"/>
          <c:extLst>
            <c:ext xmlns:c15="http://schemas.microsoft.com/office/drawing/2012/chart" uri="{CE6537A1-D6FC-4f65-9D91-7224C49458BB}"/>
          </c:extLst>
        </c:dLbl>
      </c:pivotFmt>
      <c:pivotFmt>
        <c:idx val="10"/>
        <c:spPr>
          <a:solidFill>
            <a:schemeClr val="accent1"/>
          </a:solidFill>
          <a:ln>
            <a:noFill/>
          </a:ln>
          <a:effectLst/>
        </c:spPr>
        <c:marker>
          <c:symbol val="none"/>
        </c:marker>
        <c:dLbl>
          <c:idx val="0"/>
          <c:delete val="1"/>
          <c:extLst>
            <c:ext xmlns:c15="http://schemas.microsoft.com/office/drawing/2012/chart" uri="{CE6537A1-D6FC-4f65-9D91-7224C49458BB}"/>
          </c:extLst>
        </c:dLbl>
      </c:pivotFmt>
      <c:pivotFmt>
        <c:idx val="11"/>
        <c:spPr>
          <a:solidFill>
            <a:schemeClr val="accent1"/>
          </a:solidFill>
          <a:ln>
            <a:noFill/>
          </a:ln>
          <a:effectLst/>
        </c:spPr>
        <c:marker>
          <c:symbol val="none"/>
        </c:marker>
        <c:dLbl>
          <c:idx val="0"/>
          <c:delete val="1"/>
          <c:extLst>
            <c:ext xmlns:c15="http://schemas.microsoft.com/office/drawing/2012/chart" uri="{CE6537A1-D6FC-4f65-9D91-7224C49458BB}"/>
          </c:extLst>
        </c:dLbl>
      </c:pivotFmt>
      <c:pivotFmt>
        <c:idx val="12"/>
        <c:spPr>
          <a:solidFill>
            <a:schemeClr val="accent1"/>
          </a:solidFill>
          <a:ln>
            <a:noFill/>
          </a:ln>
          <a:effectLst/>
        </c:spPr>
        <c:marker>
          <c:symbol val="none"/>
        </c:marker>
        <c:dLbl>
          <c:idx val="0"/>
          <c:delete val="1"/>
          <c:extLst>
            <c:ext xmlns:c15="http://schemas.microsoft.com/office/drawing/2012/chart" uri="{CE6537A1-D6FC-4f65-9D91-7224C49458BB}"/>
          </c:extLst>
        </c:dLbl>
      </c:pivotFmt>
      <c:pivotFmt>
        <c:idx val="13"/>
        <c:spPr>
          <a:solidFill>
            <a:schemeClr val="accent1"/>
          </a:solidFill>
          <a:ln w="28575" cap="rnd">
            <a:noFill/>
            <a:round/>
          </a:ln>
          <a:effectLst/>
        </c:spPr>
        <c:marker>
          <c:symbol val="none"/>
        </c:marker>
        <c:dLbl>
          <c:idx val="0"/>
          <c:delete val="1"/>
          <c:extLst>
            <c:ext xmlns:c15="http://schemas.microsoft.com/office/drawing/2012/chart" uri="{CE6537A1-D6FC-4f65-9D91-7224C49458BB}"/>
          </c:extLst>
        </c:dLbl>
      </c:pivotFmt>
      <c:pivotFmt>
        <c:idx val="14"/>
        <c:spPr>
          <a:solidFill>
            <a:schemeClr val="accent1"/>
          </a:solidFill>
          <a:ln>
            <a:noFill/>
          </a:ln>
          <a:effectLst/>
        </c:spPr>
        <c:marker>
          <c:symbol val="none"/>
        </c:marker>
        <c:dLbl>
          <c:idx val="0"/>
          <c:delete val="1"/>
          <c:extLst>
            <c:ext xmlns:c15="http://schemas.microsoft.com/office/drawing/2012/chart" uri="{CE6537A1-D6FC-4f65-9D91-7224C49458BB}"/>
          </c:extLst>
        </c:dLbl>
      </c:pivotFmt>
      <c:pivotFmt>
        <c:idx val="15"/>
        <c:spPr>
          <a:solidFill>
            <a:schemeClr val="accent1"/>
          </a:solidFill>
          <a:ln>
            <a:noFill/>
          </a:ln>
          <a:effectLst/>
        </c:spPr>
        <c:marker>
          <c:symbol val="none"/>
        </c:marker>
        <c:dLbl>
          <c:idx val="0"/>
          <c:delete val="1"/>
          <c:extLst>
            <c:ext xmlns:c15="http://schemas.microsoft.com/office/drawing/2012/chart" uri="{CE6537A1-D6FC-4f65-9D91-7224C49458BB}"/>
          </c:extLst>
        </c:dLbl>
      </c:pivotFmt>
      <c:pivotFmt>
        <c:idx val="16"/>
        <c:spPr>
          <a:solidFill>
            <a:schemeClr val="accent1"/>
          </a:solidFill>
          <a:ln>
            <a:noFill/>
          </a:ln>
          <a:effectLst/>
        </c:spPr>
        <c:marker>
          <c:symbol val="none"/>
        </c:marker>
        <c:dLbl>
          <c:idx val="0"/>
          <c:delete val="1"/>
          <c:extLst>
            <c:ext xmlns:c15="http://schemas.microsoft.com/office/drawing/2012/chart" uri="{CE6537A1-D6FC-4f65-9D91-7224C49458BB}"/>
          </c:extLst>
        </c:dLbl>
      </c:pivotFmt>
      <c:pivotFmt>
        <c:idx val="17"/>
        <c:spPr>
          <a:solidFill>
            <a:schemeClr val="accent1"/>
          </a:solidFill>
          <a:ln>
            <a:noFill/>
          </a:ln>
          <a:effectLst/>
        </c:spPr>
        <c:marker>
          <c:symbol val="none"/>
        </c:marker>
        <c:dLbl>
          <c:idx val="0"/>
          <c:delete val="1"/>
          <c:extLst>
            <c:ext xmlns:c15="http://schemas.microsoft.com/office/drawing/2012/chart" uri="{CE6537A1-D6FC-4f65-9D91-7224C49458BB}"/>
          </c:extLst>
        </c:dLbl>
      </c:pivotFmt>
      <c:pivotFmt>
        <c:idx val="18"/>
        <c:spPr>
          <a:solidFill>
            <a:schemeClr val="accent1"/>
          </a:solidFill>
          <a:ln>
            <a:noFill/>
          </a:ln>
          <a:effectLst/>
        </c:spPr>
        <c:marker>
          <c:symbol val="circle"/>
          <c:size val="5"/>
          <c:spPr>
            <a:solidFill>
              <a:schemeClr val="accent1"/>
            </a:solidFill>
            <a:ln w="9525">
              <a:solidFill>
                <a:schemeClr val="accent1"/>
              </a:solidFill>
            </a:ln>
            <a:effectLst/>
          </c:spPr>
        </c:marker>
        <c:dLbl>
          <c:idx val="0"/>
          <c:delete val="1"/>
          <c:extLst>
            <c:ext xmlns:c15="http://schemas.microsoft.com/office/drawing/2012/chart" uri="{CE6537A1-D6FC-4f65-9D91-7224C49458BB}"/>
          </c:extLst>
        </c:dLbl>
      </c:pivotFmt>
      <c:pivotFmt>
        <c:idx val="19"/>
        <c:spPr>
          <a:solidFill>
            <a:schemeClr val="accent1"/>
          </a:solidFill>
          <a:ln>
            <a:noFill/>
          </a:ln>
          <a:effectLst/>
        </c:spPr>
        <c:marker>
          <c:symbol val="none"/>
        </c:marker>
        <c:dLbl>
          <c:idx val="0"/>
          <c:delete val="1"/>
          <c:extLst>
            <c:ext xmlns:c15="http://schemas.microsoft.com/office/drawing/2012/chart" uri="{CE6537A1-D6FC-4f65-9D91-7224C49458BB}"/>
          </c:extLst>
        </c:dLbl>
      </c:pivotFmt>
      <c:pivotFmt>
        <c:idx val="20"/>
        <c:spPr>
          <a:solidFill>
            <a:schemeClr val="accent1"/>
          </a:solidFill>
          <a:ln>
            <a:noFill/>
          </a:ln>
          <a:effectLst/>
        </c:spPr>
        <c:marker>
          <c:symbol val="none"/>
        </c:marker>
        <c:dLbl>
          <c:idx val="0"/>
          <c:delete val="1"/>
          <c:extLst>
            <c:ext xmlns:c15="http://schemas.microsoft.com/office/drawing/2012/chart" uri="{CE6537A1-D6FC-4f65-9D91-7224C49458BB}"/>
          </c:extLst>
        </c:dLbl>
      </c:pivotFmt>
      <c:pivotFmt>
        <c:idx val="21"/>
        <c:spPr>
          <a:solidFill>
            <a:schemeClr val="accent1"/>
          </a:solidFill>
          <a:ln>
            <a:noFill/>
          </a:ln>
          <a:effectLst/>
        </c:spPr>
        <c:marker>
          <c:symbol val="none"/>
        </c:marker>
        <c:dLbl>
          <c:idx val="0"/>
          <c:delete val="1"/>
          <c:extLst>
            <c:ext xmlns:c15="http://schemas.microsoft.com/office/drawing/2012/chart" uri="{CE6537A1-D6FC-4f65-9D91-7224C49458BB}"/>
          </c:extLst>
        </c:dLbl>
      </c:pivotFmt>
      <c:pivotFmt>
        <c:idx val="22"/>
        <c:spPr>
          <a:solidFill>
            <a:schemeClr val="accent1"/>
          </a:solidFill>
          <a:ln>
            <a:noFill/>
          </a:ln>
          <a:effectLst/>
        </c:spPr>
        <c:marker>
          <c:symbol val="none"/>
        </c:marker>
        <c:dLbl>
          <c:idx val="0"/>
          <c:delete val="1"/>
          <c:extLst>
            <c:ext xmlns:c15="http://schemas.microsoft.com/office/drawing/2012/chart" uri="{CE6537A1-D6FC-4f65-9D91-7224C49458BB}"/>
          </c:extLst>
        </c:dLbl>
      </c:pivotFmt>
      <c:pivotFmt>
        <c:idx val="23"/>
        <c:spPr>
          <a:solidFill>
            <a:schemeClr val="accent1"/>
          </a:solidFill>
          <a:ln>
            <a:noFill/>
          </a:ln>
          <a:effectLst/>
        </c:spPr>
        <c:marker>
          <c:symbol val="none"/>
        </c:marker>
        <c:dLbl>
          <c:idx val="0"/>
          <c:delete val="1"/>
          <c:extLst>
            <c:ext xmlns:c15="http://schemas.microsoft.com/office/drawing/2012/chart" uri="{CE6537A1-D6FC-4f65-9D91-7224C49458BB}"/>
          </c:extLst>
        </c:dLbl>
      </c:pivotFmt>
      <c:pivotFmt>
        <c:idx val="24"/>
        <c:spPr>
          <a:solidFill>
            <a:schemeClr val="accent1"/>
          </a:solidFill>
          <a:ln>
            <a:noFill/>
          </a:ln>
          <a:effectLst/>
        </c:spPr>
        <c:marker>
          <c:symbol val="none"/>
        </c:marker>
        <c:dLbl>
          <c:idx val="0"/>
          <c:delete val="1"/>
          <c:extLst>
            <c:ext xmlns:c15="http://schemas.microsoft.com/office/drawing/2012/chart" uri="{CE6537A1-D6FC-4f65-9D91-7224C49458BB}"/>
          </c:extLst>
        </c:dLbl>
      </c:pivotFmt>
      <c:pivotFmt>
        <c:idx val="25"/>
        <c:spPr>
          <a:solidFill>
            <a:schemeClr val="accent1"/>
          </a:solidFill>
          <a:ln>
            <a:noFill/>
          </a:ln>
          <a:effectLst/>
        </c:spPr>
        <c:marker>
          <c:symbol val="none"/>
        </c:marker>
        <c:dLbl>
          <c:idx val="0"/>
          <c:delete val="1"/>
          <c:extLst>
            <c:ext xmlns:c15="http://schemas.microsoft.com/office/drawing/2012/chart" uri="{CE6537A1-D6FC-4f65-9D91-7224C49458BB}"/>
          </c:extLst>
        </c:dLbl>
      </c:pivotFmt>
      <c:pivotFmt>
        <c:idx val="26"/>
        <c:spPr>
          <a:solidFill>
            <a:schemeClr val="accent1"/>
          </a:solidFill>
          <a:ln>
            <a:noFill/>
          </a:ln>
          <a:effectLst/>
        </c:spPr>
        <c:marker>
          <c:symbol val="none"/>
        </c:marker>
        <c:dLbl>
          <c:idx val="0"/>
          <c:delete val="1"/>
          <c:extLst>
            <c:ext xmlns:c15="http://schemas.microsoft.com/office/drawing/2012/chart" uri="{CE6537A1-D6FC-4f65-9D91-7224C49458BB}"/>
          </c:extLst>
        </c:dLbl>
      </c:pivotFmt>
      <c:pivotFmt>
        <c:idx val="27"/>
        <c:spPr>
          <a:solidFill>
            <a:schemeClr val="accent1"/>
          </a:solidFill>
          <a:ln>
            <a:noFill/>
          </a:ln>
          <a:effectLst/>
        </c:spPr>
        <c:marker>
          <c:symbol val="none"/>
        </c:marker>
        <c:dLbl>
          <c:idx val="0"/>
          <c:delete val="1"/>
          <c:extLst>
            <c:ext xmlns:c15="http://schemas.microsoft.com/office/drawing/2012/chart" uri="{CE6537A1-D6FC-4f65-9D91-7224C49458BB}"/>
          </c:extLst>
        </c:dLbl>
      </c:pivotFmt>
      <c:pivotFmt>
        <c:idx val="28"/>
        <c:spPr>
          <a:solidFill>
            <a:schemeClr val="accent1"/>
          </a:solidFill>
          <a:ln>
            <a:noFill/>
          </a:ln>
          <a:effectLst/>
        </c:spPr>
        <c:marker>
          <c:symbol val="none"/>
        </c:marker>
        <c:dLbl>
          <c:idx val="0"/>
          <c:delete val="1"/>
          <c:extLst>
            <c:ext xmlns:c15="http://schemas.microsoft.com/office/drawing/2012/chart" uri="{CE6537A1-D6FC-4f65-9D91-7224C49458BB}"/>
          </c:extLst>
        </c:dLbl>
      </c:pivotFmt>
      <c:pivotFmt>
        <c:idx val="29"/>
        <c:spPr>
          <a:solidFill>
            <a:schemeClr val="accent1"/>
          </a:solidFill>
          <a:ln>
            <a:noFill/>
          </a:ln>
          <a:effectLst/>
        </c:spPr>
        <c:marker>
          <c:symbol val="none"/>
        </c:marker>
        <c:dLbl>
          <c:idx val="0"/>
          <c:delete val="1"/>
          <c:extLst>
            <c:ext xmlns:c15="http://schemas.microsoft.com/office/drawing/2012/chart" uri="{CE6537A1-D6FC-4f65-9D91-7224C49458BB}"/>
          </c:extLst>
        </c:dLbl>
      </c:pivotFmt>
      <c:pivotFmt>
        <c:idx val="30"/>
        <c:spPr>
          <a:solidFill>
            <a:schemeClr val="accent1"/>
          </a:solidFill>
          <a:ln>
            <a:noFill/>
          </a:ln>
          <a:effectLst/>
        </c:spPr>
        <c:marker>
          <c:symbol val="none"/>
        </c:marker>
        <c:dLbl>
          <c:idx val="0"/>
          <c:delete val="1"/>
          <c:extLst>
            <c:ext xmlns:c15="http://schemas.microsoft.com/office/drawing/2012/chart" uri="{CE6537A1-D6FC-4f65-9D91-7224C49458BB}"/>
          </c:extLst>
        </c:dLbl>
      </c:pivotFmt>
      <c:pivotFmt>
        <c:idx val="31"/>
        <c:spPr>
          <a:solidFill>
            <a:schemeClr val="accent1"/>
          </a:solidFill>
          <a:ln>
            <a:noFill/>
          </a:ln>
          <a:effectLst/>
        </c:spPr>
        <c:marker>
          <c:symbol val="none"/>
        </c:marker>
        <c:dLbl>
          <c:idx val="0"/>
          <c:delete val="1"/>
          <c:extLst>
            <c:ext xmlns:c15="http://schemas.microsoft.com/office/drawing/2012/chart" uri="{CE6537A1-D6FC-4f65-9D91-7224C49458BB}"/>
          </c:extLst>
        </c:dLbl>
      </c:pivotFmt>
      <c:pivotFmt>
        <c:idx val="32"/>
        <c:spPr>
          <a:solidFill>
            <a:schemeClr val="accent1"/>
          </a:solidFill>
          <a:ln>
            <a:noFill/>
          </a:ln>
          <a:effectLst/>
        </c:spPr>
        <c:marker>
          <c:symbol val="none"/>
        </c:marker>
        <c:dLbl>
          <c:idx val="0"/>
          <c:delete val="1"/>
          <c:extLst>
            <c:ext xmlns:c15="http://schemas.microsoft.com/office/drawing/2012/chart" uri="{CE6537A1-D6FC-4f65-9D91-7224C49458BB}"/>
          </c:extLst>
        </c:dLbl>
      </c:pivotFmt>
      <c:pivotFmt>
        <c:idx val="33"/>
        <c:spPr>
          <a:solidFill>
            <a:schemeClr val="accent1"/>
          </a:solidFill>
          <a:ln>
            <a:noFill/>
          </a:ln>
          <a:effectLst/>
        </c:spPr>
        <c:marker>
          <c:symbol val="none"/>
        </c:marker>
        <c:dLbl>
          <c:idx val="0"/>
          <c:delete val="1"/>
          <c:extLst>
            <c:ext xmlns:c15="http://schemas.microsoft.com/office/drawing/2012/chart" uri="{CE6537A1-D6FC-4f65-9D91-7224C49458BB}"/>
          </c:extLst>
        </c:dLbl>
      </c:pivotFmt>
      <c:pivotFmt>
        <c:idx val="34"/>
        <c:spPr>
          <a:solidFill>
            <a:schemeClr val="accent1"/>
          </a:solidFill>
          <a:ln>
            <a:noFill/>
          </a:ln>
          <a:effectLst/>
        </c:spPr>
        <c:marker>
          <c:symbol val="none"/>
        </c:marker>
        <c:dLbl>
          <c:idx val="0"/>
          <c:delete val="1"/>
          <c:extLst>
            <c:ext xmlns:c15="http://schemas.microsoft.com/office/drawing/2012/chart" uri="{CE6537A1-D6FC-4f65-9D91-7224C49458BB}"/>
          </c:extLst>
        </c:dLbl>
      </c:pivotFmt>
      <c:pivotFmt>
        <c:idx val="35"/>
        <c:spPr>
          <a:solidFill>
            <a:schemeClr val="accent1"/>
          </a:solidFill>
          <a:ln>
            <a:noFill/>
          </a:ln>
          <a:effectLst/>
        </c:spPr>
        <c:marker>
          <c:symbol val="none"/>
        </c:marker>
        <c:dLbl>
          <c:idx val="0"/>
          <c:delete val="1"/>
          <c:extLst>
            <c:ext xmlns:c15="http://schemas.microsoft.com/office/drawing/2012/chart" uri="{CE6537A1-D6FC-4f65-9D91-7224C49458BB}"/>
          </c:extLst>
        </c:dLbl>
      </c:pivotFmt>
      <c:pivotFmt>
        <c:idx val="36"/>
        <c:spPr>
          <a:solidFill>
            <a:schemeClr val="accent1"/>
          </a:solidFill>
          <a:ln>
            <a:noFill/>
          </a:ln>
          <a:effectLst/>
        </c:spPr>
        <c:marker>
          <c:symbol val="none"/>
        </c:marker>
        <c:dLbl>
          <c:idx val="0"/>
          <c:delete val="1"/>
          <c:extLst>
            <c:ext xmlns:c15="http://schemas.microsoft.com/office/drawing/2012/chart" uri="{CE6537A1-D6FC-4f65-9D91-7224C49458BB}"/>
          </c:extLst>
        </c:dLbl>
      </c:pivotFmt>
      <c:pivotFmt>
        <c:idx val="37"/>
        <c:spPr>
          <a:solidFill>
            <a:schemeClr val="accent1"/>
          </a:solidFill>
          <a:ln>
            <a:noFill/>
          </a:ln>
          <a:effectLst/>
        </c:spPr>
        <c:marker>
          <c:symbol val="none"/>
        </c:marker>
        <c:dLbl>
          <c:idx val="0"/>
          <c:delete val="1"/>
          <c:extLst>
            <c:ext xmlns:c15="http://schemas.microsoft.com/office/drawing/2012/chart" uri="{CE6537A1-D6FC-4f65-9D91-7224C49458BB}"/>
          </c:extLst>
        </c:dLbl>
      </c:pivotFmt>
      <c:pivotFmt>
        <c:idx val="38"/>
        <c:spPr>
          <a:solidFill>
            <a:schemeClr val="accent1"/>
          </a:solidFill>
          <a:ln>
            <a:noFill/>
          </a:ln>
          <a:effectLst/>
        </c:spPr>
        <c:marker>
          <c:symbol val="none"/>
        </c:marker>
        <c:dLbl>
          <c:idx val="0"/>
          <c:delete val="1"/>
          <c:extLst>
            <c:ext xmlns:c15="http://schemas.microsoft.com/office/drawing/2012/chart" uri="{CE6537A1-D6FC-4f65-9D91-7224C49458BB}"/>
          </c:extLst>
        </c:dLbl>
      </c:pivotFmt>
      <c:pivotFmt>
        <c:idx val="39"/>
        <c:spPr>
          <a:solidFill>
            <a:schemeClr val="accent1"/>
          </a:solidFill>
          <a:ln>
            <a:noFill/>
          </a:ln>
          <a:effectLst/>
        </c:spPr>
        <c:marker>
          <c:symbol val="none"/>
        </c:marker>
        <c:dLbl>
          <c:idx val="0"/>
          <c:delete val="1"/>
          <c:extLst>
            <c:ext xmlns:c15="http://schemas.microsoft.com/office/drawing/2012/chart" uri="{CE6537A1-D6FC-4f65-9D91-7224C49458BB}"/>
          </c:extLst>
        </c:dLbl>
      </c:pivotFmt>
      <c:pivotFmt>
        <c:idx val="40"/>
        <c:spPr>
          <a:solidFill>
            <a:schemeClr val="accent1"/>
          </a:solidFill>
          <a:ln>
            <a:noFill/>
          </a:ln>
          <a:effectLst/>
        </c:spPr>
        <c:marker>
          <c:symbol val="none"/>
        </c:marker>
        <c:dLbl>
          <c:idx val="0"/>
          <c:delete val="1"/>
          <c:extLst>
            <c:ext xmlns:c15="http://schemas.microsoft.com/office/drawing/2012/chart" uri="{CE6537A1-D6FC-4f65-9D91-7224C49458BB}"/>
          </c:extLst>
        </c:dLbl>
      </c:pivotFmt>
      <c:pivotFmt>
        <c:idx val="41"/>
        <c:spPr>
          <a:solidFill>
            <a:schemeClr val="accent1"/>
          </a:solidFill>
          <a:ln>
            <a:noFill/>
          </a:ln>
          <a:effectLst/>
        </c:spPr>
        <c:marker>
          <c:symbol val="none"/>
        </c:marker>
        <c:dLbl>
          <c:idx val="0"/>
          <c:delete val="1"/>
          <c:extLst>
            <c:ext xmlns:c15="http://schemas.microsoft.com/office/drawing/2012/chart" uri="{CE6537A1-D6FC-4f65-9D91-7224C49458BB}"/>
          </c:extLst>
        </c:dLbl>
      </c:pivotFmt>
      <c:pivotFmt>
        <c:idx val="42"/>
        <c:spPr>
          <a:solidFill>
            <a:schemeClr val="accent1"/>
          </a:solidFill>
          <a:ln>
            <a:noFill/>
          </a:ln>
          <a:effectLst/>
        </c:spPr>
        <c:marker>
          <c:symbol val="none"/>
        </c:marker>
        <c:dLbl>
          <c:idx val="0"/>
          <c:spPr>
            <a:noFill/>
            <a:ln>
              <a:noFill/>
            </a:ln>
            <a:effectLst/>
          </c:spPr>
          <c:txPr>
            <a:bodyPr wrap="square" lIns="38100" tIns="19050" rIns="38100" bIns="19050" anchor="ctr">
              <a:spAutoFit/>
            </a:bodyPr>
            <a:lstStyle/>
            <a:p>
              <a:pPr>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43"/>
        <c:marker>
          <c:symbol val="none"/>
        </c:marker>
        <c:dLbl>
          <c:idx val="0"/>
          <c:showLegendKey val="0"/>
          <c:showVal val="1"/>
          <c:showCatName val="0"/>
          <c:showSerName val="0"/>
          <c:showPercent val="0"/>
          <c:showBubbleSize val="0"/>
          <c:extLst>
            <c:ext xmlns:c15="http://schemas.microsoft.com/office/drawing/2012/chart" uri="{CE6537A1-D6FC-4f65-9D91-7224C49458BB}"/>
          </c:extLst>
        </c:dLbl>
      </c:pivotFmt>
      <c:pivotFmt>
        <c:idx val="44"/>
        <c:marker>
          <c:symbol val="none"/>
        </c:marker>
        <c:dLbl>
          <c:idx val="0"/>
          <c:numFmt formatCode="#,##0\ [$Kč-405]" sourceLinked="0"/>
          <c:spPr>
            <a:noFill/>
            <a:ln>
              <a:noFill/>
            </a:ln>
            <a:effectLst/>
          </c:spPr>
          <c:txPr>
            <a:bodyPr wrap="square" lIns="38100" tIns="19050" rIns="38100" bIns="19050" anchor="ctr" anchorCtr="0">
              <a:spAutoFit/>
            </a:bodyPr>
            <a:lstStyle/>
            <a:p>
              <a:pPr algn="ctr">
                <a:defRPr lang="en-US"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45"/>
        <c:marker>
          <c:symbol val="none"/>
        </c:marker>
        <c:dLbl>
          <c:idx val="0"/>
          <c:numFmt formatCode="#,##0\ [$Kč-405]" sourceLinked="0"/>
          <c:spPr>
            <a:noFill/>
            <a:ln>
              <a:noFill/>
            </a:ln>
            <a:effectLst/>
          </c:spPr>
          <c:txPr>
            <a:bodyPr wrap="square" lIns="38100" tIns="19050" rIns="38100" bIns="19050" anchor="ctr" anchorCtr="0">
              <a:spAutoFit/>
            </a:bodyPr>
            <a:lstStyle/>
            <a:p>
              <a:pPr algn="ctr">
                <a:defRPr lang="en-US"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eparator> </c:separator>
          <c:extLst>
            <c:ext xmlns:c15="http://schemas.microsoft.com/office/drawing/2012/chart" uri="{CE6537A1-D6FC-4f65-9D91-7224C49458BB}"/>
          </c:extLst>
        </c:dLbl>
      </c:pivotFmt>
      <c:pivotFmt>
        <c:idx val="46"/>
        <c:marker>
          <c:symbol val="none"/>
        </c:marker>
        <c:dLbl>
          <c:idx val="0"/>
          <c:spPr>
            <a:noFill/>
            <a:ln>
              <a:noFill/>
            </a:ln>
            <a:effectLst/>
          </c:spPr>
          <c:txPr>
            <a:bodyPr wrap="square" lIns="38100" tIns="19050" rIns="38100" bIns="19050" anchor="ctr">
              <a:spAutoFit/>
            </a:bodyPr>
            <a:lstStyle/>
            <a:p>
              <a:pPr>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47"/>
        <c:marker>
          <c:symbol val="none"/>
        </c:marker>
        <c:dLbl>
          <c:idx val="0"/>
          <c:showLegendKey val="0"/>
          <c:showVal val="1"/>
          <c:showCatName val="0"/>
          <c:showSerName val="0"/>
          <c:showPercent val="0"/>
          <c:showBubbleSize val="0"/>
          <c:extLst>
            <c:ext xmlns:c15="http://schemas.microsoft.com/office/drawing/2012/chart" uri="{CE6537A1-D6FC-4f65-9D91-7224C49458BB}"/>
          </c:extLst>
        </c:dLbl>
      </c:pivotFmt>
      <c:pivotFmt>
        <c:idx val="48"/>
        <c:marker>
          <c:symbol val="none"/>
        </c:marker>
        <c:dLbl>
          <c:idx val="0"/>
          <c:spPr>
            <a:noFill/>
            <a:ln>
              <a:noFill/>
            </a:ln>
            <a:effectLst/>
          </c:spPr>
          <c:txPr>
            <a:bodyPr wrap="square" lIns="38100" tIns="19050" rIns="38100" bIns="19050" anchor="ctr">
              <a:spAutoFit/>
            </a:bodyPr>
            <a:lstStyle/>
            <a:p>
              <a:pPr>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49"/>
        <c:marker>
          <c:symbol val="none"/>
        </c:marker>
        <c:dLbl>
          <c:idx val="0"/>
          <c:showLegendKey val="0"/>
          <c:showVal val="1"/>
          <c:showCatName val="0"/>
          <c:showSerName val="0"/>
          <c:showPercent val="0"/>
          <c:showBubbleSize val="0"/>
          <c:extLst>
            <c:ext xmlns:c15="http://schemas.microsoft.com/office/drawing/2012/chart" uri="{CE6537A1-D6FC-4f65-9D91-7224C49458BB}"/>
          </c:extLst>
        </c:dLbl>
      </c:pivotFmt>
      <c:pivotFmt>
        <c:idx val="50"/>
      </c:pivotFmt>
      <c:pivotFmt>
        <c:idx val="51"/>
        <c:marker>
          <c:symbol val="none"/>
        </c:marker>
        <c:dLbl>
          <c:idx val="0"/>
          <c:spPr>
            <a:noFill/>
            <a:ln>
              <a:noFill/>
            </a:ln>
            <a:effectLst/>
          </c:spPr>
          <c:txPr>
            <a:bodyPr wrap="square" lIns="38100" tIns="19050" rIns="38100" bIns="19050" anchor="ctr" anchorCtr="0">
              <a:spAutoFit/>
            </a:bodyPr>
            <a:lstStyle/>
            <a:p>
              <a:pPr algn="ctr">
                <a:defRPr lang="en-US"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52"/>
        <c:marker>
          <c:symbol val="none"/>
        </c:marker>
        <c:dLbl>
          <c:idx val="0"/>
          <c:spPr>
            <a:noFill/>
            <a:ln>
              <a:noFill/>
            </a:ln>
            <a:effectLst/>
          </c:spPr>
          <c:txPr>
            <a:bodyPr wrap="square" lIns="38100" tIns="19050" rIns="38100" bIns="19050" anchor="ctr" anchorCtr="0">
              <a:spAutoFit/>
            </a:bodyPr>
            <a:lstStyle/>
            <a:p>
              <a:pPr algn="ctr">
                <a:defRPr lang="en-US"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53"/>
        <c:marker>
          <c:symbol val="none"/>
        </c:marker>
        <c:dLbl>
          <c:idx val="0"/>
          <c:spPr>
            <a:noFill/>
            <a:ln>
              <a:noFill/>
            </a:ln>
            <a:effectLst/>
          </c:spPr>
          <c:txPr>
            <a:bodyPr wrap="square" lIns="38100" tIns="19050" rIns="38100" bIns="19050" anchor="ctr" anchorCtr="0">
              <a:spAutoFit/>
            </a:bodyPr>
            <a:lstStyle/>
            <a:p>
              <a:pPr algn="ctr">
                <a:defRPr lang="en-US"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54"/>
        <c:marker>
          <c:symbol val="none"/>
        </c:marker>
        <c:dLbl>
          <c:idx val="0"/>
          <c:spPr>
            <a:noFill/>
            <a:ln>
              <a:noFill/>
            </a:ln>
            <a:effectLst/>
          </c:spPr>
          <c:txPr>
            <a:bodyPr wrap="square" lIns="38100" tIns="19050" rIns="38100" bIns="19050" anchor="ctr" anchorCtr="0">
              <a:spAutoFit/>
            </a:bodyPr>
            <a:lstStyle/>
            <a:p>
              <a:pPr algn="ctr">
                <a:defRPr lang="en-US"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55"/>
        <c:marker>
          <c:symbol val="none"/>
        </c:marker>
        <c:dLbl>
          <c:idx val="0"/>
          <c:spPr>
            <a:noFill/>
            <a:ln>
              <a:noFill/>
            </a:ln>
            <a:effectLst/>
          </c:spPr>
          <c:txPr>
            <a:bodyPr wrap="square" lIns="38100" tIns="19050" rIns="38100" bIns="19050" anchor="ctr">
              <a:spAutoFit/>
            </a:bodyPr>
            <a:lstStyle/>
            <a:p>
              <a:pPr>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2.9193033829477515E-2"/>
          <c:y val="0.13230730919325928"/>
          <c:w val="0.94022215651423269"/>
          <c:h val="0.75546320641359488"/>
        </c:manualLayout>
      </c:layout>
      <c:barChart>
        <c:barDir val="col"/>
        <c:grouping val="clustered"/>
        <c:varyColors val="0"/>
        <c:ser>
          <c:idx val="0"/>
          <c:order val="0"/>
          <c:tx>
            <c:strRef>
              <c:f>'Bar - cat. by month'!$B$4:$B$5</c:f>
              <c:strCache>
                <c:ptCount val="1"/>
                <c:pt idx="0">
                  <c:v>Food</c:v>
                </c:pt>
              </c:strCache>
            </c:strRef>
          </c:tx>
          <c:spPr>
            <a:solidFill>
              <a:schemeClr val="accent1"/>
            </a:solidFill>
            <a:ln>
              <a:noFill/>
            </a:ln>
            <a:effectLst/>
          </c:spPr>
          <c:invertIfNegative val="0"/>
          <c:dLbls>
            <c:spPr>
              <a:noFill/>
              <a:ln>
                <a:noFill/>
              </a:ln>
              <a:effectLst/>
            </c:spPr>
            <c:txPr>
              <a:bodyPr wrap="square" lIns="38100" tIns="19050" rIns="38100" bIns="19050" anchor="ctr">
                <a:spAutoFit/>
              </a:bodyPr>
              <a:lstStyle/>
              <a:p>
                <a:pPr>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ext>
            </c:extLst>
          </c:dLbls>
          <c:cat>
            <c:strRef>
              <c:f>'Bar - cat. by month'!$A$6:$A$11</c:f>
              <c:strCache>
                <c:ptCount val="5"/>
                <c:pt idx="0">
                  <c:v>Jan</c:v>
                </c:pt>
                <c:pt idx="1">
                  <c:v>Feb</c:v>
                </c:pt>
                <c:pt idx="2">
                  <c:v>Mar</c:v>
                </c:pt>
                <c:pt idx="3">
                  <c:v>Apr</c:v>
                </c:pt>
                <c:pt idx="4">
                  <c:v>May</c:v>
                </c:pt>
              </c:strCache>
            </c:strRef>
          </c:cat>
          <c:val>
            <c:numRef>
              <c:f>'Bar - cat. by month'!$B$6:$B$11</c:f>
              <c:numCache>
                <c:formatCode>#,##0\ [$Kč-405]</c:formatCode>
                <c:ptCount val="5"/>
                <c:pt idx="0">
                  <c:v>9376</c:v>
                </c:pt>
                <c:pt idx="1">
                  <c:v>9581</c:v>
                </c:pt>
                <c:pt idx="2">
                  <c:v>13414</c:v>
                </c:pt>
                <c:pt idx="3">
                  <c:v>14000</c:v>
                </c:pt>
                <c:pt idx="4">
                  <c:v>14000</c:v>
                </c:pt>
              </c:numCache>
            </c:numRef>
          </c:val>
          <c:extLst>
            <c:ext xmlns:c16="http://schemas.microsoft.com/office/drawing/2014/chart" uri="{C3380CC4-5D6E-409C-BE32-E72D297353CC}">
              <c16:uniqueId val="{00000004-BEBB-45EA-B78F-4A8B425DD7EC}"/>
            </c:ext>
          </c:extLst>
        </c:ser>
        <c:dLbls>
          <c:dLblPos val="outEnd"/>
          <c:showLegendKey val="0"/>
          <c:showVal val="1"/>
          <c:showCatName val="0"/>
          <c:showSerName val="0"/>
          <c:showPercent val="0"/>
          <c:showBubbleSize val="0"/>
        </c:dLbls>
        <c:gapWidth val="219"/>
        <c:axId val="398529696"/>
        <c:axId val="275626736"/>
      </c:barChart>
      <c:catAx>
        <c:axId val="398529696"/>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75626736"/>
        <c:crosses val="autoZero"/>
        <c:auto val="1"/>
        <c:lblAlgn val="ctr"/>
        <c:lblOffset val="100"/>
        <c:noMultiLvlLbl val="0"/>
      </c:catAx>
      <c:valAx>
        <c:axId val="275626736"/>
        <c:scaling>
          <c:orientation val="minMax"/>
        </c:scaling>
        <c:delete val="1"/>
        <c:axPos val="l"/>
        <c:majorGridlines>
          <c:spPr>
            <a:ln w="9525" cap="flat" cmpd="sng" algn="ctr">
              <a:noFill/>
              <a:round/>
            </a:ln>
            <a:effectLst/>
          </c:spPr>
        </c:majorGridlines>
        <c:numFmt formatCode="#,##0\ [$Kč-405]" sourceLinked="0"/>
        <c:majorTickMark val="none"/>
        <c:minorTickMark val="none"/>
        <c:tickLblPos val="nextTo"/>
        <c:crossAx val="398529696"/>
        <c:crosses val="autoZero"/>
        <c:crossBetween val="between"/>
      </c:valAx>
    </c:plotArea>
    <c:plotVisOnly val="1"/>
    <c:dispBlanksAs val="gap"/>
    <c:showDLblsOverMax val="0"/>
    <c:extLst/>
  </c:chart>
  <c:spPr>
    <a:ln>
      <a:solidFill>
        <a:schemeClr val="bg1">
          <a:lumMod val="65000"/>
        </a:schemeClr>
      </a:solidFill>
    </a:ln>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3"/>
    </mc:Choice>
    <mc:Fallback>
      <c:style val="3"/>
    </mc:Fallback>
  </mc:AlternateContent>
  <c:pivotSource>
    <c:name>[expense_tracker.xlsm]Pie - total IN.OUT!Total in vs out</c:name>
    <c:fmtId val="50"/>
  </c:pivotSource>
  <c:chart>
    <c:autoTitleDeleted val="1"/>
    <c:pivotFmts>
      <c:pivotFmt>
        <c:idx val="0"/>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ysClr val="windowText" lastClr="000000"/>
                  </a:solidFill>
                  <a:effectLst>
                    <a:outerShdw blurRad="38100" dist="19050" dir="2700000" algn="tl" rotWithShape="0">
                      <a:schemeClr val="dk1">
                        <a:alpha val="40000"/>
                      </a:schemeClr>
                    </a:outerShdw>
                  </a:effectLst>
                  <a:latin typeface="+mn-lt"/>
                  <a:ea typeface="+mn-ea"/>
                  <a:cs typeface="+mn-cs"/>
                </a:defRPr>
              </a:pPr>
              <a:endParaRPr lang="en-US"/>
            </a:p>
          </c:txPr>
          <c:dLblPos val="ctr"/>
          <c:showLegendKey val="0"/>
          <c:showVal val="0"/>
          <c:showCatName val="1"/>
          <c:showSerName val="0"/>
          <c:showPercent val="1"/>
          <c:showBubbleSize val="0"/>
          <c:extLst>
            <c:ext xmlns:c15="http://schemas.microsoft.com/office/drawing/2012/chart" uri="{CE6537A1-D6FC-4f65-9D91-7224C49458BB}"/>
          </c:extLst>
        </c:dLbl>
      </c:pivotFmt>
      <c:pivotFmt>
        <c:idx val="3"/>
        <c:spPr>
          <a:solidFill>
            <a:schemeClr val="accent1"/>
          </a:solidFill>
          <a:ln w="19050">
            <a:solidFill>
              <a:schemeClr val="lt1"/>
            </a:solidFill>
          </a:ln>
          <a:effectLst/>
        </c:spPr>
        <c:dLbl>
          <c:idx val="0"/>
          <c:spPr>
            <a:noFill/>
            <a:ln>
              <a:noFill/>
            </a:ln>
            <a:effectLst/>
          </c:spPr>
          <c:txPr>
            <a:bodyPr rot="0" spcFirstLastPara="1" vertOverflow="ellipsis" vert="horz" wrap="square" lIns="38100" tIns="19050" rIns="38100" bIns="19050" anchor="ctr" anchorCtr="1">
              <a:noAutofit/>
            </a:bodyPr>
            <a:lstStyle/>
            <a:p>
              <a:pPr>
                <a:defRPr sz="1000" b="0" i="0" u="none" strike="noStrike" kern="1200" cap="none" spc="0" baseline="0">
                  <a:ln w="0"/>
                  <a:solidFill>
                    <a:sysClr val="windowText" lastClr="000000"/>
                  </a:solidFill>
                  <a:effectLst>
                    <a:outerShdw blurRad="38100" dist="19050" dir="2700000" algn="tl" rotWithShape="0">
                      <a:schemeClr val="dk1">
                        <a:alpha val="40000"/>
                      </a:schemeClr>
                    </a:outerShdw>
                  </a:effectLst>
                  <a:latin typeface="+mn-lt"/>
                  <a:ea typeface="+mn-ea"/>
                  <a:cs typeface="+mn-cs"/>
                </a:defRPr>
              </a:pPr>
              <a:endParaRPr lang="en-US"/>
            </a:p>
          </c:txPr>
          <c:dLblPos val="ctr"/>
          <c:showLegendKey val="0"/>
          <c:showVal val="0"/>
          <c:showCatName val="1"/>
          <c:showSerName val="0"/>
          <c:showPercent val="1"/>
          <c:showBubbleSize val="0"/>
          <c:extLst>
            <c:ext xmlns:c15="http://schemas.microsoft.com/office/drawing/2012/chart" uri="{CE6537A1-D6FC-4f65-9D91-7224C49458BB}">
              <c15:layout>
                <c:manualLayout>
                  <c:w val="0.25078676606102202"/>
                  <c:h val="0.2024602026049204"/>
                </c:manualLayout>
              </c15:layout>
            </c:ext>
          </c:extLst>
        </c:dLbl>
      </c:pivotFmt>
      <c:pivotFmt>
        <c:idx val="4"/>
        <c:spPr>
          <a:solidFill>
            <a:schemeClr val="accent1"/>
          </a:solidFill>
          <a:ln w="19050">
            <a:solidFill>
              <a:schemeClr val="lt1"/>
            </a:solidFill>
          </a:ln>
          <a:effectLst/>
        </c:spPr>
        <c:dLbl>
          <c:idx val="0"/>
          <c:tx>
            <c:rich>
              <a:bodyPr rot="0" spcFirstLastPara="1" vertOverflow="ellipsis" vert="horz" wrap="square" lIns="38100" tIns="19050" rIns="38100" bIns="19050" anchor="ctr" anchorCtr="1">
                <a:noAutofit/>
              </a:bodyPr>
              <a:lstStyle/>
              <a:p>
                <a:pPr>
                  <a:defRPr sz="900" b="0" i="0" u="none" strike="noStrike" kern="1200" cap="none" spc="0" baseline="0">
                    <a:ln w="0"/>
                    <a:solidFill>
                      <a:sysClr val="windowText" lastClr="000000"/>
                    </a:solidFill>
                    <a:effectLst>
                      <a:outerShdw blurRad="38100" dist="19050" dir="2700000" algn="tl" rotWithShape="0">
                        <a:schemeClr val="dk1">
                          <a:alpha val="40000"/>
                        </a:schemeClr>
                      </a:outerShdw>
                    </a:effectLst>
                    <a:latin typeface="+mn-lt"/>
                    <a:ea typeface="+mn-ea"/>
                    <a:cs typeface="+mn-cs"/>
                  </a:defRPr>
                </a:pPr>
                <a:fld id="{4CA87C75-1937-49A4-B56E-64A982B448BC}" type="CATEGORYNAME">
                  <a:rPr lang="en-US" sz="1000" b="0" cap="none" spc="0">
                    <a:ln w="0"/>
                    <a:solidFill>
                      <a:sysClr val="windowText" lastClr="000000"/>
                    </a:solidFill>
                    <a:effectLst>
                      <a:outerShdw blurRad="38100" dist="19050" dir="2700000" algn="tl" rotWithShape="0">
                        <a:schemeClr val="dk1">
                          <a:alpha val="40000"/>
                        </a:schemeClr>
                      </a:outerShdw>
                    </a:effectLst>
                  </a:rPr>
                  <a:pPr>
                    <a:defRPr sz="900" b="0" i="0" u="none" strike="noStrike" kern="1200" cap="none" spc="0" baseline="0">
                      <a:ln w="0"/>
                      <a:solidFill>
                        <a:sysClr val="windowText" lastClr="000000"/>
                      </a:solidFill>
                      <a:effectLst>
                        <a:outerShdw blurRad="38100" dist="19050" dir="2700000" algn="tl" rotWithShape="0">
                          <a:schemeClr val="dk1">
                            <a:alpha val="40000"/>
                          </a:schemeClr>
                        </a:outerShdw>
                      </a:effectLst>
                      <a:latin typeface="+mn-lt"/>
                      <a:ea typeface="+mn-ea"/>
                      <a:cs typeface="+mn-cs"/>
                    </a:defRPr>
                  </a:pPr>
                  <a:t>[CATEGORY NAME]</a:t>
                </a:fld>
                <a:r>
                  <a:rPr lang="en-US" b="0" cap="none" spc="0" baseline="0">
                    <a:ln w="0"/>
                    <a:solidFill>
                      <a:sysClr val="windowText" lastClr="000000"/>
                    </a:solidFill>
                    <a:effectLst>
                      <a:outerShdw blurRad="38100" dist="19050" dir="2700000" algn="tl" rotWithShape="0">
                        <a:schemeClr val="dk1">
                          <a:alpha val="40000"/>
                        </a:schemeClr>
                      </a:outerShdw>
                    </a:effectLst>
                  </a:rPr>
                  <a:t>
</a:t>
                </a:r>
                <a:fld id="{4CA0BD70-C61A-4FAB-A894-7BA94D375AEA}" type="PERCENTAGE">
                  <a:rPr lang="en-US" b="0" cap="none" spc="0" baseline="0">
                    <a:ln w="0"/>
                    <a:solidFill>
                      <a:sysClr val="windowText" lastClr="000000"/>
                    </a:solidFill>
                    <a:effectLst>
                      <a:outerShdw blurRad="38100" dist="19050" dir="2700000" algn="tl" rotWithShape="0">
                        <a:schemeClr val="dk1">
                          <a:alpha val="40000"/>
                        </a:schemeClr>
                      </a:outerShdw>
                    </a:effectLst>
                  </a:rPr>
                  <a:pPr>
                    <a:defRPr sz="900" b="0" i="0" u="none" strike="noStrike" kern="1200" cap="none" spc="0" baseline="0">
                      <a:ln w="0"/>
                      <a:solidFill>
                        <a:sysClr val="windowText" lastClr="000000"/>
                      </a:solidFill>
                      <a:effectLst>
                        <a:outerShdw blurRad="38100" dist="19050" dir="2700000" algn="tl" rotWithShape="0">
                          <a:schemeClr val="dk1">
                            <a:alpha val="40000"/>
                          </a:schemeClr>
                        </a:outerShdw>
                      </a:effectLst>
                      <a:latin typeface="+mn-lt"/>
                      <a:ea typeface="+mn-ea"/>
                      <a:cs typeface="+mn-cs"/>
                    </a:defRPr>
                  </a:pPr>
                  <a:t>[PERCENTAGE]</a:t>
                </a:fld>
                <a:endParaRPr lang="en-US" b="0" cap="none" spc="0" baseline="0">
                  <a:ln w="0"/>
                  <a:solidFill>
                    <a:sysClr val="windowText" lastClr="000000"/>
                  </a:solidFill>
                  <a:effectLst>
                    <a:outerShdw blurRad="38100" dist="19050" dir="2700000" algn="tl" rotWithShape="0">
                      <a:schemeClr val="dk1">
                        <a:alpha val="40000"/>
                      </a:schemeClr>
                    </a:outerShdw>
                  </a:effectLst>
                </a:endParaRPr>
              </a:p>
            </c:rich>
          </c:tx>
          <c:spPr>
            <a:noFill/>
            <a:ln>
              <a:noFill/>
            </a:ln>
            <a:effectLst/>
          </c:spPr>
          <c:txPr>
            <a:bodyPr rot="0" spcFirstLastPara="1" vertOverflow="ellipsis" vert="horz" wrap="square" lIns="38100" tIns="19050" rIns="38100" bIns="19050" anchor="ctr" anchorCtr="1">
              <a:noAutofit/>
            </a:bodyPr>
            <a:lstStyle/>
            <a:p>
              <a:pPr>
                <a:defRPr sz="900" b="0" i="0" u="none" strike="noStrike" kern="1200" cap="none" spc="0" baseline="0">
                  <a:ln w="0"/>
                  <a:solidFill>
                    <a:sysClr val="windowText" lastClr="000000"/>
                  </a:solidFill>
                  <a:effectLst>
                    <a:outerShdw blurRad="38100" dist="19050" dir="2700000" algn="tl" rotWithShape="0">
                      <a:schemeClr val="dk1">
                        <a:alpha val="40000"/>
                      </a:schemeClr>
                    </a:outerShdw>
                  </a:effectLst>
                  <a:latin typeface="+mn-lt"/>
                  <a:ea typeface="+mn-ea"/>
                  <a:cs typeface="+mn-cs"/>
                </a:defRPr>
              </a:pPr>
              <a:endParaRPr lang="en-US"/>
            </a:p>
          </c:txPr>
          <c:dLblPos val="ctr"/>
          <c:showLegendKey val="0"/>
          <c:showVal val="0"/>
          <c:showCatName val="1"/>
          <c:showSerName val="0"/>
          <c:showPercent val="1"/>
          <c:showBubbleSize val="0"/>
          <c:extLst>
            <c:ext xmlns:c15="http://schemas.microsoft.com/office/drawing/2012/chart" uri="{CE6537A1-D6FC-4f65-9D91-7224C49458BB}">
              <c15:layout>
                <c:manualLayout>
                  <c:w val="0.27054075867635186"/>
                  <c:h val="0.16869271587071877"/>
                </c:manualLayout>
              </c15:layout>
              <c15:dlblFieldTable/>
              <c15:showDataLabelsRange val="0"/>
            </c:ext>
          </c:extLst>
        </c:dLbl>
      </c:pivotFmt>
      <c:pivotFmt>
        <c:idx val="5"/>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ysClr val="windowText" lastClr="000000"/>
                  </a:solidFill>
                  <a:effectLst>
                    <a:outerShdw blurRad="38100" dist="19050" dir="2700000" algn="tl" rotWithShape="0">
                      <a:schemeClr val="dk1">
                        <a:alpha val="40000"/>
                      </a:schemeClr>
                    </a:outerShdw>
                  </a:effectLst>
                  <a:latin typeface="+mn-lt"/>
                  <a:ea typeface="+mn-ea"/>
                  <a:cs typeface="+mn-cs"/>
                </a:defRPr>
              </a:pPr>
              <a:endParaRPr lang="en-US"/>
            </a:p>
          </c:txPr>
          <c:dLblPos val="ctr"/>
          <c:showLegendKey val="0"/>
          <c:showVal val="0"/>
          <c:showCatName val="1"/>
          <c:showSerName val="0"/>
          <c:showPercent val="1"/>
          <c:showBubbleSize val="0"/>
          <c:extLst>
            <c:ext xmlns:c15="http://schemas.microsoft.com/office/drawing/2012/chart" uri="{CE6537A1-D6FC-4f65-9D91-7224C49458BB}"/>
          </c:extLst>
        </c:dLbl>
      </c:pivotFmt>
      <c:pivotFmt>
        <c:idx val="6"/>
        <c:spPr>
          <a:solidFill>
            <a:schemeClr val="accent1"/>
          </a:solidFill>
          <a:ln w="19050">
            <a:solidFill>
              <a:schemeClr val="lt1"/>
            </a:solidFill>
          </a:ln>
          <a:effectLst/>
        </c:spPr>
        <c:dLbl>
          <c:idx val="0"/>
          <c:spPr>
            <a:noFill/>
            <a:ln>
              <a:noFill/>
            </a:ln>
            <a:effectLst/>
          </c:spPr>
          <c:txPr>
            <a:bodyPr rot="0" spcFirstLastPara="1" vertOverflow="ellipsis" vert="horz" wrap="square" lIns="38100" tIns="19050" rIns="38100" bIns="19050" anchor="ctr" anchorCtr="1">
              <a:noAutofit/>
            </a:bodyPr>
            <a:lstStyle/>
            <a:p>
              <a:pPr>
                <a:defRPr sz="1000" b="0" i="0" u="none" strike="noStrike" kern="1200" cap="none" spc="0" baseline="0">
                  <a:ln w="0"/>
                  <a:solidFill>
                    <a:sysClr val="windowText" lastClr="000000"/>
                  </a:solidFill>
                  <a:effectLst>
                    <a:outerShdw blurRad="38100" dist="19050" dir="2700000" algn="tl" rotWithShape="0">
                      <a:schemeClr val="dk1">
                        <a:alpha val="40000"/>
                      </a:schemeClr>
                    </a:outerShdw>
                  </a:effectLst>
                  <a:latin typeface="+mn-lt"/>
                  <a:ea typeface="+mn-ea"/>
                  <a:cs typeface="+mn-cs"/>
                </a:defRPr>
              </a:pPr>
              <a:endParaRPr lang="en-US"/>
            </a:p>
          </c:txPr>
          <c:dLblPos val="ctr"/>
          <c:showLegendKey val="0"/>
          <c:showVal val="0"/>
          <c:showCatName val="1"/>
          <c:showSerName val="0"/>
          <c:showPercent val="1"/>
          <c:showBubbleSize val="0"/>
          <c:extLst>
            <c:ext xmlns:c15="http://schemas.microsoft.com/office/drawing/2012/chart" uri="{CE6537A1-D6FC-4f65-9D91-7224C49458BB}">
              <c15:layout>
                <c:manualLayout>
                  <c:w val="0.25078676606102202"/>
                  <c:h val="0.2024602026049204"/>
                </c:manualLayout>
              </c15:layout>
            </c:ext>
          </c:extLst>
        </c:dLbl>
      </c:pivotFmt>
      <c:pivotFmt>
        <c:idx val="7"/>
        <c:spPr>
          <a:solidFill>
            <a:schemeClr val="accent1"/>
          </a:solidFill>
          <a:ln w="19050">
            <a:solidFill>
              <a:schemeClr val="lt1"/>
            </a:solidFill>
          </a:ln>
          <a:effectLst/>
        </c:spPr>
        <c:dLbl>
          <c:idx val="0"/>
          <c:tx>
            <c:rich>
              <a:bodyPr rot="0" spcFirstLastPara="1" vertOverflow="ellipsis" vert="horz" wrap="square" lIns="38100" tIns="19050" rIns="38100" bIns="19050" anchor="ctr" anchorCtr="1">
                <a:noAutofit/>
              </a:bodyPr>
              <a:lstStyle/>
              <a:p>
                <a:pPr>
                  <a:defRPr sz="900" b="0" i="0" u="none" strike="noStrike" kern="1200" cap="none" spc="0" baseline="0">
                    <a:ln w="0"/>
                    <a:solidFill>
                      <a:sysClr val="windowText" lastClr="000000"/>
                    </a:solidFill>
                    <a:effectLst>
                      <a:outerShdw blurRad="38100" dist="19050" dir="2700000" algn="tl" rotWithShape="0">
                        <a:schemeClr val="dk1">
                          <a:alpha val="40000"/>
                        </a:schemeClr>
                      </a:outerShdw>
                    </a:effectLst>
                    <a:latin typeface="+mn-lt"/>
                    <a:ea typeface="+mn-ea"/>
                    <a:cs typeface="+mn-cs"/>
                  </a:defRPr>
                </a:pPr>
                <a:fld id="{4CA87C75-1937-49A4-B56E-64A982B448BC}" type="CATEGORYNAME">
                  <a:rPr lang="en-US" sz="1000" b="0" cap="none" spc="0">
                    <a:ln w="0"/>
                    <a:solidFill>
                      <a:sysClr val="windowText" lastClr="000000"/>
                    </a:solidFill>
                    <a:effectLst>
                      <a:outerShdw blurRad="38100" dist="19050" dir="2700000" algn="tl" rotWithShape="0">
                        <a:schemeClr val="dk1">
                          <a:alpha val="40000"/>
                        </a:schemeClr>
                      </a:outerShdw>
                    </a:effectLst>
                  </a:rPr>
                  <a:pPr>
                    <a:defRPr sz="900" b="0" i="0" u="none" strike="noStrike" kern="1200" cap="none" spc="0" baseline="0">
                      <a:ln w="0"/>
                      <a:solidFill>
                        <a:sysClr val="windowText" lastClr="000000"/>
                      </a:solidFill>
                      <a:effectLst>
                        <a:outerShdw blurRad="38100" dist="19050" dir="2700000" algn="tl" rotWithShape="0">
                          <a:schemeClr val="dk1">
                            <a:alpha val="40000"/>
                          </a:schemeClr>
                        </a:outerShdw>
                      </a:effectLst>
                      <a:latin typeface="+mn-lt"/>
                      <a:ea typeface="+mn-ea"/>
                      <a:cs typeface="+mn-cs"/>
                    </a:defRPr>
                  </a:pPr>
                  <a:t>[CATEGORY NAME]</a:t>
                </a:fld>
                <a:r>
                  <a:rPr lang="en-US" b="0" cap="none" spc="0" baseline="0">
                    <a:ln w="0"/>
                    <a:solidFill>
                      <a:sysClr val="windowText" lastClr="000000"/>
                    </a:solidFill>
                    <a:effectLst>
                      <a:outerShdw blurRad="38100" dist="19050" dir="2700000" algn="tl" rotWithShape="0">
                        <a:schemeClr val="dk1">
                          <a:alpha val="40000"/>
                        </a:schemeClr>
                      </a:outerShdw>
                    </a:effectLst>
                  </a:rPr>
                  <a:t>
</a:t>
                </a:r>
                <a:fld id="{4CA0BD70-C61A-4FAB-A894-7BA94D375AEA}" type="PERCENTAGE">
                  <a:rPr lang="en-US" b="0" cap="none" spc="0" baseline="0">
                    <a:ln w="0"/>
                    <a:solidFill>
                      <a:sysClr val="windowText" lastClr="000000"/>
                    </a:solidFill>
                    <a:effectLst>
                      <a:outerShdw blurRad="38100" dist="19050" dir="2700000" algn="tl" rotWithShape="0">
                        <a:schemeClr val="dk1">
                          <a:alpha val="40000"/>
                        </a:schemeClr>
                      </a:outerShdw>
                    </a:effectLst>
                  </a:rPr>
                  <a:pPr>
                    <a:defRPr sz="900" b="0" i="0" u="none" strike="noStrike" kern="1200" cap="none" spc="0" baseline="0">
                      <a:ln w="0"/>
                      <a:solidFill>
                        <a:sysClr val="windowText" lastClr="000000"/>
                      </a:solidFill>
                      <a:effectLst>
                        <a:outerShdw blurRad="38100" dist="19050" dir="2700000" algn="tl" rotWithShape="0">
                          <a:schemeClr val="dk1">
                            <a:alpha val="40000"/>
                          </a:schemeClr>
                        </a:outerShdw>
                      </a:effectLst>
                      <a:latin typeface="+mn-lt"/>
                      <a:ea typeface="+mn-ea"/>
                      <a:cs typeface="+mn-cs"/>
                    </a:defRPr>
                  </a:pPr>
                  <a:t>[PERCENTAGE]</a:t>
                </a:fld>
                <a:endParaRPr lang="en-US" b="0" cap="none" spc="0" baseline="0">
                  <a:ln w="0"/>
                  <a:solidFill>
                    <a:sysClr val="windowText" lastClr="000000"/>
                  </a:solidFill>
                  <a:effectLst>
                    <a:outerShdw blurRad="38100" dist="19050" dir="2700000" algn="tl" rotWithShape="0">
                      <a:schemeClr val="dk1">
                        <a:alpha val="40000"/>
                      </a:schemeClr>
                    </a:outerShdw>
                  </a:effectLst>
                </a:endParaRPr>
              </a:p>
            </c:rich>
          </c:tx>
          <c:spPr>
            <a:noFill/>
            <a:ln>
              <a:noFill/>
            </a:ln>
            <a:effectLst/>
          </c:spPr>
          <c:txPr>
            <a:bodyPr rot="0" spcFirstLastPara="1" vertOverflow="ellipsis" vert="horz" wrap="square" lIns="38100" tIns="19050" rIns="38100" bIns="19050" anchor="ctr" anchorCtr="1">
              <a:noAutofit/>
            </a:bodyPr>
            <a:lstStyle/>
            <a:p>
              <a:pPr>
                <a:defRPr sz="900" b="0" i="0" u="none" strike="noStrike" kern="1200" cap="none" spc="0" baseline="0">
                  <a:ln w="0"/>
                  <a:solidFill>
                    <a:sysClr val="windowText" lastClr="000000"/>
                  </a:solidFill>
                  <a:effectLst>
                    <a:outerShdw blurRad="38100" dist="19050" dir="2700000" algn="tl" rotWithShape="0">
                      <a:schemeClr val="dk1">
                        <a:alpha val="40000"/>
                      </a:schemeClr>
                    </a:outerShdw>
                  </a:effectLst>
                  <a:latin typeface="+mn-lt"/>
                  <a:ea typeface="+mn-ea"/>
                  <a:cs typeface="+mn-cs"/>
                </a:defRPr>
              </a:pPr>
              <a:endParaRPr lang="en-US"/>
            </a:p>
          </c:txPr>
          <c:dLblPos val="ctr"/>
          <c:showLegendKey val="0"/>
          <c:showVal val="0"/>
          <c:showCatName val="1"/>
          <c:showSerName val="0"/>
          <c:showPercent val="1"/>
          <c:showBubbleSize val="0"/>
          <c:extLst>
            <c:ext xmlns:c15="http://schemas.microsoft.com/office/drawing/2012/chart" uri="{CE6537A1-D6FC-4f65-9D91-7224C49458BB}">
              <c15:layout>
                <c:manualLayout>
                  <c:w val="0.27054075867635186"/>
                  <c:h val="0.16869271587071877"/>
                </c:manualLayout>
              </c15:layout>
              <c15:dlblFieldTable/>
              <c15:showDataLabelsRange val="0"/>
            </c:ext>
          </c:extLst>
        </c:dLbl>
      </c:pivotFmt>
      <c:pivotFmt>
        <c:idx val="8"/>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ysClr val="windowText" lastClr="000000"/>
                  </a:solidFill>
                  <a:effectLst>
                    <a:outerShdw blurRad="38100" dist="19050" dir="2700000" algn="tl" rotWithShape="0">
                      <a:schemeClr val="dk1">
                        <a:alpha val="40000"/>
                      </a:schemeClr>
                    </a:outerShdw>
                  </a:effectLst>
                  <a:latin typeface="+mn-lt"/>
                  <a:ea typeface="+mn-ea"/>
                  <a:cs typeface="+mn-cs"/>
                </a:defRPr>
              </a:pPr>
              <a:endParaRPr lang="en-US"/>
            </a:p>
          </c:txPr>
          <c:dLblPos val="ctr"/>
          <c:showLegendKey val="0"/>
          <c:showVal val="0"/>
          <c:showCatName val="1"/>
          <c:showSerName val="0"/>
          <c:showPercent val="1"/>
          <c:showBubbleSize val="0"/>
          <c:extLst>
            <c:ext xmlns:c15="http://schemas.microsoft.com/office/drawing/2012/chart" uri="{CE6537A1-D6FC-4f65-9D91-7224C49458BB}"/>
          </c:extLst>
        </c:dLbl>
      </c:pivotFmt>
      <c:pivotFmt>
        <c:idx val="9"/>
        <c:spPr>
          <a:solidFill>
            <a:schemeClr val="accent1"/>
          </a:solidFill>
          <a:ln w="19050">
            <a:solidFill>
              <a:schemeClr val="lt1"/>
            </a:solidFill>
          </a:ln>
          <a:effectLst/>
        </c:spPr>
        <c:dLbl>
          <c:idx val="0"/>
          <c:spPr>
            <a:noFill/>
            <a:ln>
              <a:noFill/>
            </a:ln>
            <a:effectLst/>
          </c:spPr>
          <c:txPr>
            <a:bodyPr rot="0" spcFirstLastPara="1" vertOverflow="ellipsis" vert="horz" wrap="square" lIns="38100" tIns="19050" rIns="38100" bIns="19050" anchor="ctr" anchorCtr="1">
              <a:noAutofit/>
            </a:bodyPr>
            <a:lstStyle/>
            <a:p>
              <a:pPr>
                <a:defRPr sz="1000" b="0" i="0" u="none" strike="noStrike" kern="1200" cap="none" spc="0" baseline="0">
                  <a:ln w="0"/>
                  <a:solidFill>
                    <a:sysClr val="windowText" lastClr="000000"/>
                  </a:solidFill>
                  <a:effectLst>
                    <a:outerShdw blurRad="38100" dist="19050" dir="2700000" algn="tl" rotWithShape="0">
                      <a:schemeClr val="dk1">
                        <a:alpha val="40000"/>
                      </a:schemeClr>
                    </a:outerShdw>
                  </a:effectLst>
                  <a:latin typeface="+mn-lt"/>
                  <a:ea typeface="+mn-ea"/>
                  <a:cs typeface="+mn-cs"/>
                </a:defRPr>
              </a:pPr>
              <a:endParaRPr lang="en-US"/>
            </a:p>
          </c:txPr>
          <c:dLblPos val="ctr"/>
          <c:showLegendKey val="0"/>
          <c:showVal val="0"/>
          <c:showCatName val="1"/>
          <c:showSerName val="0"/>
          <c:showPercent val="1"/>
          <c:showBubbleSize val="0"/>
          <c:extLst>
            <c:ext xmlns:c15="http://schemas.microsoft.com/office/drawing/2012/chart" uri="{CE6537A1-D6FC-4f65-9D91-7224C49458BB}">
              <c15:layout>
                <c:manualLayout>
                  <c:w val="0.25078676606102202"/>
                  <c:h val="0.2024602026049204"/>
                </c:manualLayout>
              </c15:layout>
            </c:ext>
          </c:extLst>
        </c:dLbl>
      </c:pivotFmt>
      <c:pivotFmt>
        <c:idx val="10"/>
        <c:spPr>
          <a:solidFill>
            <a:schemeClr val="accent1"/>
          </a:solidFill>
          <a:ln w="19050">
            <a:solidFill>
              <a:schemeClr val="lt1"/>
            </a:solidFill>
          </a:ln>
          <a:effectLst/>
        </c:spPr>
        <c:dLbl>
          <c:idx val="0"/>
          <c:tx>
            <c:rich>
              <a:bodyPr rot="0" spcFirstLastPara="1" vertOverflow="ellipsis" vert="horz" wrap="square" lIns="38100" tIns="19050" rIns="38100" bIns="19050" anchor="ctr" anchorCtr="1">
                <a:noAutofit/>
              </a:bodyPr>
              <a:lstStyle/>
              <a:p>
                <a:pPr>
                  <a:defRPr sz="900" b="0" i="0" u="none" strike="noStrike" kern="1200" cap="none" spc="0" baseline="0">
                    <a:ln w="0"/>
                    <a:solidFill>
                      <a:sysClr val="windowText" lastClr="000000"/>
                    </a:solidFill>
                    <a:effectLst>
                      <a:outerShdw blurRad="38100" dist="19050" dir="2700000" algn="tl" rotWithShape="0">
                        <a:schemeClr val="dk1">
                          <a:alpha val="40000"/>
                        </a:schemeClr>
                      </a:outerShdw>
                    </a:effectLst>
                    <a:latin typeface="+mn-lt"/>
                    <a:ea typeface="+mn-ea"/>
                    <a:cs typeface="+mn-cs"/>
                  </a:defRPr>
                </a:pPr>
                <a:fld id="{4CA87C75-1937-49A4-B56E-64A982B448BC}" type="CATEGORYNAME">
                  <a:rPr lang="en-US" sz="1000" b="0" cap="none" spc="0">
                    <a:ln w="0"/>
                    <a:solidFill>
                      <a:sysClr val="windowText" lastClr="000000"/>
                    </a:solidFill>
                    <a:effectLst>
                      <a:outerShdw blurRad="38100" dist="19050" dir="2700000" algn="tl" rotWithShape="0">
                        <a:schemeClr val="dk1">
                          <a:alpha val="40000"/>
                        </a:schemeClr>
                      </a:outerShdw>
                    </a:effectLst>
                  </a:rPr>
                  <a:pPr>
                    <a:defRPr sz="900" b="0" i="0" u="none" strike="noStrike" kern="1200" cap="none" spc="0" baseline="0">
                      <a:ln w="0"/>
                      <a:solidFill>
                        <a:sysClr val="windowText" lastClr="000000"/>
                      </a:solidFill>
                      <a:effectLst>
                        <a:outerShdw blurRad="38100" dist="19050" dir="2700000" algn="tl" rotWithShape="0">
                          <a:schemeClr val="dk1">
                            <a:alpha val="40000"/>
                          </a:schemeClr>
                        </a:outerShdw>
                      </a:effectLst>
                      <a:latin typeface="+mn-lt"/>
                      <a:ea typeface="+mn-ea"/>
                      <a:cs typeface="+mn-cs"/>
                    </a:defRPr>
                  </a:pPr>
                  <a:t>[CATEGORY NAME]</a:t>
                </a:fld>
                <a:r>
                  <a:rPr lang="en-US" b="0" cap="none" spc="0" baseline="0">
                    <a:ln w="0"/>
                    <a:solidFill>
                      <a:sysClr val="windowText" lastClr="000000"/>
                    </a:solidFill>
                    <a:effectLst>
                      <a:outerShdw blurRad="38100" dist="19050" dir="2700000" algn="tl" rotWithShape="0">
                        <a:schemeClr val="dk1">
                          <a:alpha val="40000"/>
                        </a:schemeClr>
                      </a:outerShdw>
                    </a:effectLst>
                  </a:rPr>
                  <a:t>
</a:t>
                </a:r>
                <a:fld id="{4CA0BD70-C61A-4FAB-A894-7BA94D375AEA}" type="PERCENTAGE">
                  <a:rPr lang="en-US" b="0" cap="none" spc="0" baseline="0">
                    <a:ln w="0"/>
                    <a:solidFill>
                      <a:sysClr val="windowText" lastClr="000000"/>
                    </a:solidFill>
                    <a:effectLst>
                      <a:outerShdw blurRad="38100" dist="19050" dir="2700000" algn="tl" rotWithShape="0">
                        <a:schemeClr val="dk1">
                          <a:alpha val="40000"/>
                        </a:schemeClr>
                      </a:outerShdw>
                    </a:effectLst>
                  </a:rPr>
                  <a:pPr>
                    <a:defRPr sz="900" b="0" i="0" u="none" strike="noStrike" kern="1200" cap="none" spc="0" baseline="0">
                      <a:ln w="0"/>
                      <a:solidFill>
                        <a:sysClr val="windowText" lastClr="000000"/>
                      </a:solidFill>
                      <a:effectLst>
                        <a:outerShdw blurRad="38100" dist="19050" dir="2700000" algn="tl" rotWithShape="0">
                          <a:schemeClr val="dk1">
                            <a:alpha val="40000"/>
                          </a:schemeClr>
                        </a:outerShdw>
                      </a:effectLst>
                      <a:latin typeface="+mn-lt"/>
                      <a:ea typeface="+mn-ea"/>
                      <a:cs typeface="+mn-cs"/>
                    </a:defRPr>
                  </a:pPr>
                  <a:t>[PERCENTAGE]</a:t>
                </a:fld>
                <a:endParaRPr lang="en-US" b="0" cap="none" spc="0" baseline="0">
                  <a:ln w="0"/>
                  <a:solidFill>
                    <a:sysClr val="windowText" lastClr="000000"/>
                  </a:solidFill>
                  <a:effectLst>
                    <a:outerShdw blurRad="38100" dist="19050" dir="2700000" algn="tl" rotWithShape="0">
                      <a:schemeClr val="dk1">
                        <a:alpha val="40000"/>
                      </a:schemeClr>
                    </a:outerShdw>
                  </a:effectLst>
                </a:endParaRPr>
              </a:p>
            </c:rich>
          </c:tx>
          <c:spPr>
            <a:noFill/>
            <a:ln>
              <a:noFill/>
            </a:ln>
            <a:effectLst/>
          </c:spPr>
          <c:txPr>
            <a:bodyPr rot="0" spcFirstLastPara="1" vertOverflow="ellipsis" vert="horz" wrap="square" lIns="38100" tIns="19050" rIns="38100" bIns="19050" anchor="ctr" anchorCtr="1">
              <a:noAutofit/>
            </a:bodyPr>
            <a:lstStyle/>
            <a:p>
              <a:pPr>
                <a:defRPr sz="900" b="0" i="0" u="none" strike="noStrike" kern="1200" cap="none" spc="0" baseline="0">
                  <a:ln w="0"/>
                  <a:solidFill>
                    <a:sysClr val="windowText" lastClr="000000"/>
                  </a:solidFill>
                  <a:effectLst>
                    <a:outerShdw blurRad="38100" dist="19050" dir="2700000" algn="tl" rotWithShape="0">
                      <a:schemeClr val="dk1">
                        <a:alpha val="40000"/>
                      </a:schemeClr>
                    </a:outerShdw>
                  </a:effectLst>
                  <a:latin typeface="+mn-lt"/>
                  <a:ea typeface="+mn-ea"/>
                  <a:cs typeface="+mn-cs"/>
                </a:defRPr>
              </a:pPr>
              <a:endParaRPr lang="en-US"/>
            </a:p>
          </c:txPr>
          <c:dLblPos val="ctr"/>
          <c:showLegendKey val="0"/>
          <c:showVal val="0"/>
          <c:showCatName val="1"/>
          <c:showSerName val="0"/>
          <c:showPercent val="1"/>
          <c:showBubbleSize val="0"/>
          <c:extLst>
            <c:ext xmlns:c15="http://schemas.microsoft.com/office/drawing/2012/chart" uri="{CE6537A1-D6FC-4f65-9D91-7224C49458BB}">
              <c15:layout>
                <c:manualLayout>
                  <c:w val="0.27054075867635186"/>
                  <c:h val="0.16869271587071877"/>
                </c:manualLayout>
              </c15:layout>
              <c15:dlblFieldTable/>
              <c15:showDataLabelsRange val="0"/>
            </c:ext>
          </c:extLst>
        </c:dLbl>
      </c:pivotFmt>
      <c:pivotFmt>
        <c:idx val="11"/>
        <c:spPr>
          <a:solidFill>
            <a:schemeClr val="bg1">
              <a:lumMod val="50000"/>
            </a:schemeClr>
          </a:solidFill>
          <a:ln w="19050">
            <a:solidFill>
              <a:schemeClr val="accen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ysClr val="windowText" lastClr="000000"/>
                  </a:solidFill>
                  <a:effectLst>
                    <a:outerShdw blurRad="38100" dist="19050" dir="2700000" algn="tl" rotWithShape="0">
                      <a:schemeClr val="dk1">
                        <a:alpha val="40000"/>
                      </a:schemeClr>
                    </a:outerShdw>
                  </a:effectLst>
                  <a:latin typeface="+mn-lt"/>
                  <a:ea typeface="+mn-ea"/>
                  <a:cs typeface="+mn-cs"/>
                </a:defRPr>
              </a:pPr>
              <a:endParaRPr lang="en-US"/>
            </a:p>
          </c:txPr>
          <c:showLegendKey val="0"/>
          <c:showVal val="0"/>
          <c:showCatName val="1"/>
          <c:showSerName val="0"/>
          <c:showPercent val="1"/>
          <c:showBubbleSize val="0"/>
          <c:extLst>
            <c:ext xmlns:c15="http://schemas.microsoft.com/office/drawing/2012/chart" uri="{CE6537A1-D6FC-4f65-9D91-7224C49458BB}"/>
          </c:extLst>
        </c:dLbl>
      </c:pivotFmt>
      <c:pivotFmt>
        <c:idx val="12"/>
        <c:spPr>
          <a:solidFill>
            <a:schemeClr val="accent1">
              <a:shade val="76000"/>
            </a:schemeClr>
          </a:solidFill>
          <a:ln w="19050">
            <a:solidFill>
              <a:schemeClr val="accent1"/>
            </a:solidFill>
          </a:ln>
          <a:effectLst/>
        </c:spPr>
        <c:dLbl>
          <c:idx val="0"/>
          <c:layout>
            <c:manualLayout>
              <c:x val="-1.8161187239859898E-2"/>
              <c:y val="-1.3285126825035526E-2"/>
            </c:manualLayout>
          </c:layout>
          <c:spPr>
            <a:noFill/>
            <a:ln>
              <a:noFill/>
            </a:ln>
            <a:effectLst/>
          </c:spPr>
          <c:txPr>
            <a:bodyPr rot="0" spcFirstLastPara="1" vertOverflow="ellipsis" vert="horz" wrap="square" lIns="38100" tIns="19050" rIns="38100" bIns="19050" anchor="ctr" anchorCtr="1">
              <a:noAutofit/>
            </a:bodyPr>
            <a:lstStyle/>
            <a:p>
              <a:pPr>
                <a:defRPr sz="1000" b="0" i="0" u="none" strike="noStrike" kern="1200" cap="none" spc="0" baseline="0">
                  <a:ln w="0"/>
                  <a:solidFill>
                    <a:schemeClr val="bg1"/>
                  </a:solidFill>
                  <a:effectLst>
                    <a:outerShdw blurRad="38100" dist="19050" dir="2700000" algn="tl" rotWithShape="0">
                      <a:schemeClr val="dk1">
                        <a:alpha val="40000"/>
                      </a:schemeClr>
                    </a:outerShdw>
                  </a:effectLst>
                  <a:latin typeface="+mn-lt"/>
                  <a:ea typeface="+mn-ea"/>
                  <a:cs typeface="+mn-cs"/>
                </a:defRPr>
              </a:pPr>
              <a:endParaRPr lang="en-US"/>
            </a:p>
          </c:txPr>
          <c:showLegendKey val="0"/>
          <c:showVal val="0"/>
          <c:showCatName val="1"/>
          <c:showSerName val="0"/>
          <c:showPercent val="1"/>
          <c:showBubbleSize val="0"/>
          <c:extLst>
            <c:ext xmlns:c15="http://schemas.microsoft.com/office/drawing/2012/chart" uri="{CE6537A1-D6FC-4f65-9D91-7224C49458BB}">
              <c15:layout>
                <c:manualLayout>
                  <c:w val="0.25078676606102202"/>
                  <c:h val="0.2024602026049204"/>
                </c:manualLayout>
              </c15:layout>
            </c:ext>
          </c:extLst>
        </c:dLbl>
      </c:pivotFmt>
      <c:pivotFmt>
        <c:idx val="13"/>
        <c:spPr>
          <a:solidFill>
            <a:schemeClr val="bg1">
              <a:lumMod val="75000"/>
            </a:schemeClr>
          </a:solidFill>
          <a:ln w="19050">
            <a:solidFill>
              <a:schemeClr val="bg1">
                <a:lumMod val="50000"/>
              </a:schemeClr>
            </a:solidFill>
          </a:ln>
          <a:effectLst/>
        </c:spPr>
        <c:dLbl>
          <c:idx val="0"/>
          <c:layout>
            <c:manualLayout>
              <c:x val="-6.0534113030695476E-3"/>
              <c:y val="-1.2776569121845093E-2"/>
            </c:manualLayout>
          </c:layout>
          <c:tx>
            <c:rich>
              <a:bodyPr rot="0" spcFirstLastPara="1" vertOverflow="ellipsis" vert="horz" wrap="square" lIns="38100" tIns="19050" rIns="38100" bIns="19050" anchor="ctr" anchorCtr="1">
                <a:noAutofit/>
              </a:bodyPr>
              <a:lstStyle/>
              <a:p>
                <a:pPr>
                  <a:defRPr sz="900" b="0" i="0" u="none" strike="noStrike" kern="1200" cap="none" spc="0" baseline="0">
                    <a:ln w="0"/>
                    <a:solidFill>
                      <a:sysClr val="windowText" lastClr="000000"/>
                    </a:solidFill>
                    <a:effectLst>
                      <a:outerShdw blurRad="38100" dist="19050" dir="2700000" algn="tl" rotWithShape="0">
                        <a:schemeClr val="dk1">
                          <a:alpha val="40000"/>
                        </a:schemeClr>
                      </a:outerShdw>
                    </a:effectLst>
                    <a:latin typeface="+mn-lt"/>
                    <a:ea typeface="+mn-ea"/>
                    <a:cs typeface="+mn-cs"/>
                  </a:defRPr>
                </a:pPr>
                <a:fld id="{4CA87C75-1937-49A4-B56E-64A982B448BC}" type="CATEGORYNAME">
                  <a:rPr lang="en-US" sz="1000" b="0" cap="none" spc="0" baseline="0">
                    <a:ln w="0"/>
                    <a:solidFill>
                      <a:sysClr val="windowText" lastClr="000000"/>
                    </a:solidFill>
                    <a:effectLst>
                      <a:outerShdw blurRad="38100" dist="19050" dir="2700000" algn="tl" rotWithShape="0">
                        <a:schemeClr val="dk1">
                          <a:alpha val="40000"/>
                        </a:schemeClr>
                      </a:outerShdw>
                    </a:effectLst>
                  </a:rPr>
                  <a:pPr>
                    <a:defRPr cap="none" spc="0">
                      <a:ln w="0"/>
                      <a:solidFill>
                        <a:sysClr val="windowText" lastClr="000000"/>
                      </a:solidFill>
                      <a:effectLst>
                        <a:outerShdw blurRad="38100" dist="19050" dir="2700000" algn="tl" rotWithShape="0">
                          <a:schemeClr val="dk1">
                            <a:alpha val="40000"/>
                          </a:schemeClr>
                        </a:outerShdw>
                      </a:effectLst>
                    </a:defRPr>
                  </a:pPr>
                  <a:t>[CATEGORY NAME]</a:t>
                </a:fld>
                <a:r>
                  <a:rPr lang="en-US" b="0" cap="none" spc="0" baseline="0">
                    <a:ln w="0"/>
                    <a:solidFill>
                      <a:sysClr val="windowText" lastClr="000000"/>
                    </a:solidFill>
                    <a:effectLst>
                      <a:outerShdw blurRad="38100" dist="19050" dir="2700000" algn="tl" rotWithShape="0">
                        <a:schemeClr val="dk1">
                          <a:alpha val="40000"/>
                        </a:schemeClr>
                      </a:outerShdw>
                    </a:effectLst>
                  </a:rPr>
                  <a:t>
</a:t>
                </a:r>
                <a:fld id="{4CA0BD70-C61A-4FAB-A894-7BA94D375AEA}" type="PERCENTAGE">
                  <a:rPr lang="en-US" b="0" cap="none" spc="0" baseline="0">
                    <a:ln w="0"/>
                    <a:solidFill>
                      <a:sysClr val="windowText" lastClr="000000"/>
                    </a:solidFill>
                    <a:effectLst>
                      <a:outerShdw blurRad="38100" dist="19050" dir="2700000" algn="tl" rotWithShape="0">
                        <a:schemeClr val="dk1">
                          <a:alpha val="40000"/>
                        </a:schemeClr>
                      </a:outerShdw>
                    </a:effectLst>
                  </a:rPr>
                  <a:pPr>
                    <a:defRPr cap="none" spc="0">
                      <a:ln w="0"/>
                      <a:solidFill>
                        <a:sysClr val="windowText" lastClr="000000"/>
                      </a:solidFill>
                      <a:effectLst>
                        <a:outerShdw blurRad="38100" dist="19050" dir="2700000" algn="tl" rotWithShape="0">
                          <a:schemeClr val="dk1">
                            <a:alpha val="40000"/>
                          </a:schemeClr>
                        </a:outerShdw>
                      </a:effectLst>
                    </a:defRPr>
                  </a:pPr>
                  <a:t>[PERCENTAGE]</a:t>
                </a:fld>
                <a:endParaRPr lang="en-US" b="0" cap="none" spc="0" baseline="0">
                  <a:ln w="0"/>
                  <a:solidFill>
                    <a:sysClr val="windowText" lastClr="000000"/>
                  </a:solidFill>
                  <a:effectLst>
                    <a:outerShdw blurRad="38100" dist="19050" dir="2700000" algn="tl" rotWithShape="0">
                      <a:schemeClr val="dk1">
                        <a:alpha val="40000"/>
                      </a:schemeClr>
                    </a:outerShdw>
                  </a:effectLst>
                </a:endParaRPr>
              </a:p>
            </c:rich>
          </c:tx>
          <c:spPr>
            <a:noFill/>
            <a:ln>
              <a:noFill/>
            </a:ln>
            <a:effectLst/>
          </c:spPr>
          <c:txPr>
            <a:bodyPr rot="0" spcFirstLastPara="1" vertOverflow="ellipsis" vert="horz" wrap="square" lIns="38100" tIns="19050" rIns="38100" bIns="19050" anchor="ctr" anchorCtr="1">
              <a:noAutofit/>
            </a:bodyPr>
            <a:lstStyle/>
            <a:p>
              <a:pPr>
                <a:defRPr sz="900" b="0" i="0" u="none" strike="noStrike" kern="1200" cap="none" spc="0" baseline="0">
                  <a:ln w="0"/>
                  <a:solidFill>
                    <a:sysClr val="windowText" lastClr="000000"/>
                  </a:solidFill>
                  <a:effectLst>
                    <a:outerShdw blurRad="38100" dist="19050" dir="2700000" algn="tl" rotWithShape="0">
                      <a:schemeClr val="dk1">
                        <a:alpha val="40000"/>
                      </a:schemeClr>
                    </a:outerShdw>
                  </a:effectLst>
                  <a:latin typeface="+mn-lt"/>
                  <a:ea typeface="+mn-ea"/>
                  <a:cs typeface="+mn-cs"/>
                </a:defRPr>
              </a:pPr>
              <a:endParaRPr lang="en-US"/>
            </a:p>
          </c:txPr>
          <c:showLegendKey val="0"/>
          <c:showVal val="0"/>
          <c:showCatName val="1"/>
          <c:showSerName val="0"/>
          <c:showPercent val="1"/>
          <c:showBubbleSize val="0"/>
          <c:extLst>
            <c:ext xmlns:c15="http://schemas.microsoft.com/office/drawing/2012/chart" uri="{CE6537A1-D6FC-4f65-9D91-7224C49458BB}">
              <c15:layout>
                <c:manualLayout>
                  <c:w val="0.27054075867635186"/>
                  <c:h val="0.16869271587071877"/>
                </c:manualLayout>
              </c15:layout>
              <c15:dlblFieldTable/>
              <c15:showDataLabelsRange val="0"/>
            </c:ext>
          </c:extLst>
        </c:dLbl>
      </c:pivotFmt>
    </c:pivotFmts>
    <c:plotArea>
      <c:layout>
        <c:manualLayout>
          <c:layoutTarget val="inner"/>
          <c:xMode val="edge"/>
          <c:yMode val="edge"/>
          <c:x val="7.1085981952985808E-2"/>
          <c:y val="5.6881653838214044E-2"/>
          <c:w val="0.88025221756039618"/>
          <c:h val="0.90332999105448897"/>
        </c:manualLayout>
      </c:layout>
      <c:doughnutChart>
        <c:varyColors val="1"/>
        <c:ser>
          <c:idx val="0"/>
          <c:order val="0"/>
          <c:tx>
            <c:strRef>
              <c:f>'Pie - total IN.OUT'!$B$3</c:f>
              <c:strCache>
                <c:ptCount val="1"/>
                <c:pt idx="0">
                  <c:v>Total</c:v>
                </c:pt>
              </c:strCache>
            </c:strRef>
          </c:tx>
          <c:spPr>
            <a:solidFill>
              <a:schemeClr val="bg1">
                <a:lumMod val="50000"/>
              </a:schemeClr>
            </a:solidFill>
            <a:ln>
              <a:solidFill>
                <a:schemeClr val="accent1"/>
              </a:solidFill>
            </a:ln>
          </c:spPr>
          <c:dPt>
            <c:idx val="0"/>
            <c:bubble3D val="0"/>
            <c:spPr>
              <a:solidFill>
                <a:schemeClr val="accent1">
                  <a:shade val="76000"/>
                </a:schemeClr>
              </a:solidFill>
              <a:ln w="19050">
                <a:solidFill>
                  <a:schemeClr val="accent1"/>
                </a:solidFill>
              </a:ln>
              <a:effectLst/>
            </c:spPr>
            <c:extLst>
              <c:ext xmlns:c16="http://schemas.microsoft.com/office/drawing/2014/chart" uri="{C3380CC4-5D6E-409C-BE32-E72D297353CC}">
                <c16:uniqueId val="{00000001-8D2A-47FE-A657-A877701FECC0}"/>
              </c:ext>
            </c:extLst>
          </c:dPt>
          <c:dPt>
            <c:idx val="1"/>
            <c:bubble3D val="0"/>
            <c:spPr>
              <a:solidFill>
                <a:schemeClr val="bg1">
                  <a:lumMod val="75000"/>
                </a:schemeClr>
              </a:solidFill>
              <a:ln w="19050">
                <a:solidFill>
                  <a:schemeClr val="bg1">
                    <a:lumMod val="50000"/>
                  </a:schemeClr>
                </a:solidFill>
              </a:ln>
              <a:effectLst/>
            </c:spPr>
            <c:extLst>
              <c:ext xmlns:c16="http://schemas.microsoft.com/office/drawing/2014/chart" uri="{C3380CC4-5D6E-409C-BE32-E72D297353CC}">
                <c16:uniqueId val="{00000003-8D2A-47FE-A657-A877701FECC0}"/>
              </c:ext>
            </c:extLst>
          </c:dPt>
          <c:dLbls>
            <c:dLbl>
              <c:idx val="0"/>
              <c:layout>
                <c:manualLayout>
                  <c:x val="-1.8161187239859898E-2"/>
                  <c:y val="-1.3285126825035526E-2"/>
                </c:manualLayout>
              </c:layout>
              <c:spPr>
                <a:noFill/>
                <a:ln>
                  <a:noFill/>
                </a:ln>
                <a:effectLst/>
              </c:spPr>
              <c:txPr>
                <a:bodyPr rot="0" spcFirstLastPara="1" vertOverflow="ellipsis" vert="horz" wrap="square" lIns="38100" tIns="19050" rIns="38100" bIns="19050" anchor="ctr" anchorCtr="1">
                  <a:noAutofit/>
                </a:bodyPr>
                <a:lstStyle/>
                <a:p>
                  <a:pPr>
                    <a:defRPr sz="1000" b="0" i="0" u="none" strike="noStrike" kern="1200" cap="none" spc="0" baseline="0">
                      <a:ln w="0"/>
                      <a:solidFill>
                        <a:schemeClr val="bg1"/>
                      </a:solidFill>
                      <a:effectLst>
                        <a:outerShdw blurRad="38100" dist="19050" dir="2700000" algn="tl" rotWithShape="0">
                          <a:schemeClr val="dk1">
                            <a:alpha val="40000"/>
                          </a:schemeClr>
                        </a:outerShdw>
                      </a:effectLst>
                      <a:latin typeface="+mn-lt"/>
                      <a:ea typeface="+mn-ea"/>
                      <a:cs typeface="+mn-cs"/>
                    </a:defRPr>
                  </a:pPr>
                  <a:endParaRPr lang="en-US"/>
                </a:p>
              </c:txPr>
              <c:showLegendKey val="0"/>
              <c:showVal val="0"/>
              <c:showCatName val="1"/>
              <c:showSerName val="0"/>
              <c:showPercent val="1"/>
              <c:showBubbleSize val="0"/>
              <c:extLst>
                <c:ext xmlns:c15="http://schemas.microsoft.com/office/drawing/2012/chart" uri="{CE6537A1-D6FC-4f65-9D91-7224C49458BB}">
                  <c15:layout>
                    <c:manualLayout>
                      <c:w val="0.25078676606102202"/>
                      <c:h val="0.2024602026049204"/>
                    </c:manualLayout>
                  </c15:layout>
                </c:ext>
                <c:ext xmlns:c16="http://schemas.microsoft.com/office/drawing/2014/chart" uri="{C3380CC4-5D6E-409C-BE32-E72D297353CC}">
                  <c16:uniqueId val="{00000001-8D2A-47FE-A657-A877701FECC0}"/>
                </c:ext>
              </c:extLst>
            </c:dLbl>
            <c:dLbl>
              <c:idx val="1"/>
              <c:layout>
                <c:manualLayout>
                  <c:x val="-6.0534113030695476E-3"/>
                  <c:y val="-1.2776569121845093E-2"/>
                </c:manualLayout>
              </c:layout>
              <c:tx>
                <c:rich>
                  <a:bodyPr rot="0" spcFirstLastPara="1" vertOverflow="ellipsis" vert="horz" wrap="square" lIns="38100" tIns="19050" rIns="38100" bIns="19050" anchor="ctr" anchorCtr="1">
                    <a:noAutofit/>
                  </a:bodyPr>
                  <a:lstStyle/>
                  <a:p>
                    <a:pPr>
                      <a:defRPr sz="900" b="0" i="0" u="none" strike="noStrike" kern="1200" cap="none" spc="0" baseline="0">
                        <a:ln w="0"/>
                        <a:solidFill>
                          <a:sysClr val="windowText" lastClr="000000"/>
                        </a:solidFill>
                        <a:effectLst>
                          <a:outerShdw blurRad="38100" dist="19050" dir="2700000" algn="tl" rotWithShape="0">
                            <a:schemeClr val="dk1">
                              <a:alpha val="40000"/>
                            </a:schemeClr>
                          </a:outerShdw>
                        </a:effectLst>
                        <a:latin typeface="+mn-lt"/>
                        <a:ea typeface="+mn-ea"/>
                        <a:cs typeface="+mn-cs"/>
                      </a:defRPr>
                    </a:pPr>
                    <a:fld id="{4CA87C75-1937-49A4-B56E-64A982B448BC}" type="CATEGORYNAME">
                      <a:rPr lang="en-US" sz="1000" b="0" cap="none" spc="0" baseline="0">
                        <a:ln w="0"/>
                        <a:solidFill>
                          <a:sysClr val="windowText" lastClr="000000"/>
                        </a:solidFill>
                        <a:effectLst>
                          <a:outerShdw blurRad="38100" dist="19050" dir="2700000" algn="tl" rotWithShape="0">
                            <a:schemeClr val="dk1">
                              <a:alpha val="40000"/>
                            </a:schemeClr>
                          </a:outerShdw>
                        </a:effectLst>
                      </a:rPr>
                      <a:pPr>
                        <a:defRPr cap="none" spc="0">
                          <a:ln w="0"/>
                          <a:solidFill>
                            <a:sysClr val="windowText" lastClr="000000"/>
                          </a:solidFill>
                          <a:effectLst>
                            <a:outerShdw blurRad="38100" dist="19050" dir="2700000" algn="tl" rotWithShape="0">
                              <a:schemeClr val="dk1">
                                <a:alpha val="40000"/>
                              </a:schemeClr>
                            </a:outerShdw>
                          </a:effectLst>
                        </a:defRPr>
                      </a:pPr>
                      <a:t>[CATEGORY NAME]</a:t>
                    </a:fld>
                    <a:r>
                      <a:rPr lang="en-US" b="0" cap="none" spc="0" baseline="0">
                        <a:ln w="0"/>
                        <a:solidFill>
                          <a:sysClr val="windowText" lastClr="000000"/>
                        </a:solidFill>
                        <a:effectLst>
                          <a:outerShdw blurRad="38100" dist="19050" dir="2700000" algn="tl" rotWithShape="0">
                            <a:schemeClr val="dk1">
                              <a:alpha val="40000"/>
                            </a:schemeClr>
                          </a:outerShdw>
                        </a:effectLst>
                      </a:rPr>
                      <a:t>
</a:t>
                    </a:r>
                    <a:fld id="{4CA0BD70-C61A-4FAB-A894-7BA94D375AEA}" type="PERCENTAGE">
                      <a:rPr lang="en-US" b="0" cap="none" spc="0" baseline="0">
                        <a:ln w="0"/>
                        <a:solidFill>
                          <a:sysClr val="windowText" lastClr="000000"/>
                        </a:solidFill>
                        <a:effectLst>
                          <a:outerShdw blurRad="38100" dist="19050" dir="2700000" algn="tl" rotWithShape="0">
                            <a:schemeClr val="dk1">
                              <a:alpha val="40000"/>
                            </a:schemeClr>
                          </a:outerShdw>
                        </a:effectLst>
                      </a:rPr>
                      <a:pPr>
                        <a:defRPr cap="none" spc="0">
                          <a:ln w="0"/>
                          <a:solidFill>
                            <a:sysClr val="windowText" lastClr="000000"/>
                          </a:solidFill>
                          <a:effectLst>
                            <a:outerShdw blurRad="38100" dist="19050" dir="2700000" algn="tl" rotWithShape="0">
                              <a:schemeClr val="dk1">
                                <a:alpha val="40000"/>
                              </a:schemeClr>
                            </a:outerShdw>
                          </a:effectLst>
                        </a:defRPr>
                      </a:pPr>
                      <a:t>[PERCENTAGE]</a:t>
                    </a:fld>
                    <a:endParaRPr lang="en-US" b="0" cap="none" spc="0" baseline="0">
                      <a:ln w="0"/>
                      <a:solidFill>
                        <a:sysClr val="windowText" lastClr="000000"/>
                      </a:solidFill>
                      <a:effectLst>
                        <a:outerShdw blurRad="38100" dist="19050" dir="2700000" algn="tl" rotWithShape="0">
                          <a:schemeClr val="dk1">
                            <a:alpha val="40000"/>
                          </a:schemeClr>
                        </a:outerShdw>
                      </a:effectLst>
                    </a:endParaRPr>
                  </a:p>
                </c:rich>
              </c:tx>
              <c:spPr>
                <a:noFill/>
                <a:ln>
                  <a:noFill/>
                </a:ln>
                <a:effectLst/>
              </c:spPr>
              <c:txPr>
                <a:bodyPr rot="0" spcFirstLastPara="1" vertOverflow="ellipsis" vert="horz" wrap="square" lIns="38100" tIns="19050" rIns="38100" bIns="19050" anchor="ctr" anchorCtr="1">
                  <a:noAutofit/>
                </a:bodyPr>
                <a:lstStyle/>
                <a:p>
                  <a:pPr>
                    <a:defRPr sz="900" b="0" i="0" u="none" strike="noStrike" kern="1200" cap="none" spc="0" baseline="0">
                      <a:ln w="0"/>
                      <a:solidFill>
                        <a:sysClr val="windowText" lastClr="000000"/>
                      </a:solidFill>
                      <a:effectLst>
                        <a:outerShdw blurRad="38100" dist="19050" dir="2700000" algn="tl" rotWithShape="0">
                          <a:schemeClr val="dk1">
                            <a:alpha val="40000"/>
                          </a:schemeClr>
                        </a:outerShdw>
                      </a:effectLst>
                      <a:latin typeface="+mn-lt"/>
                      <a:ea typeface="+mn-ea"/>
                      <a:cs typeface="+mn-cs"/>
                    </a:defRPr>
                  </a:pPr>
                  <a:endParaRPr lang="en-US"/>
                </a:p>
              </c:txPr>
              <c:showLegendKey val="0"/>
              <c:showVal val="0"/>
              <c:showCatName val="1"/>
              <c:showSerName val="0"/>
              <c:showPercent val="1"/>
              <c:showBubbleSize val="0"/>
              <c:extLst>
                <c:ext xmlns:c15="http://schemas.microsoft.com/office/drawing/2012/chart" uri="{CE6537A1-D6FC-4f65-9D91-7224C49458BB}">
                  <c15:layout>
                    <c:manualLayout>
                      <c:w val="0.27054075867635186"/>
                      <c:h val="0.16869271587071877"/>
                    </c:manualLayout>
                  </c15:layout>
                  <c15:dlblFieldTable/>
                  <c15:showDataLabelsRange val="0"/>
                </c:ext>
                <c:ext xmlns:c16="http://schemas.microsoft.com/office/drawing/2014/chart" uri="{C3380CC4-5D6E-409C-BE32-E72D297353CC}">
                  <c16:uniqueId val="{00000003-8D2A-47FE-A657-A877701FECC0}"/>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ysClr val="windowText" lastClr="000000"/>
                    </a:solidFill>
                    <a:effectLst>
                      <a:outerShdw blurRad="38100" dist="19050" dir="2700000" algn="tl" rotWithShape="0">
                        <a:schemeClr val="dk1">
                          <a:alpha val="40000"/>
                        </a:schemeClr>
                      </a:outerShdw>
                    </a:effectLst>
                    <a:latin typeface="+mn-lt"/>
                    <a:ea typeface="+mn-ea"/>
                    <a:cs typeface="+mn-cs"/>
                  </a:defRPr>
                </a:pPr>
                <a:endParaRPr lang="en-US"/>
              </a:p>
            </c:txPr>
            <c:showLegendKey val="0"/>
            <c:showVal val="0"/>
            <c:showCatName val="1"/>
            <c:showSerName val="0"/>
            <c:showPercent val="1"/>
            <c:showBubbleSize val="0"/>
            <c:showLeaderLines val="0"/>
            <c:extLst>
              <c:ext xmlns:c15="http://schemas.microsoft.com/office/drawing/2012/chart" uri="{CE6537A1-D6FC-4f65-9D91-7224C49458BB}"/>
            </c:extLst>
          </c:dLbls>
          <c:cat>
            <c:strRef>
              <c:f>'Pie - total IN.OUT'!$A$4:$A$6</c:f>
              <c:strCache>
                <c:ptCount val="2"/>
                <c:pt idx="0">
                  <c:v>Expense</c:v>
                </c:pt>
                <c:pt idx="1">
                  <c:v>Income</c:v>
                </c:pt>
              </c:strCache>
            </c:strRef>
          </c:cat>
          <c:val>
            <c:numRef>
              <c:f>'Pie - total IN.OUT'!$B$4:$B$6</c:f>
              <c:numCache>
                <c:formatCode>#,##0\ [$Kč-405]</c:formatCode>
                <c:ptCount val="2"/>
                <c:pt idx="0">
                  <c:v>264977</c:v>
                </c:pt>
                <c:pt idx="1">
                  <c:v>501600</c:v>
                </c:pt>
              </c:numCache>
            </c:numRef>
          </c:val>
          <c:extLst>
            <c:ext xmlns:c16="http://schemas.microsoft.com/office/drawing/2014/chart" uri="{C3380CC4-5D6E-409C-BE32-E72D297353CC}">
              <c16:uniqueId val="{00000004-8D2A-47FE-A657-A877701FECC0}"/>
            </c:ext>
          </c:extLst>
        </c:ser>
        <c:dLbls>
          <c:showLegendKey val="0"/>
          <c:showVal val="0"/>
          <c:showCatName val="0"/>
          <c:showSerName val="0"/>
          <c:showPercent val="0"/>
          <c:showBubbleSize val="0"/>
          <c:showLeaderLines val="0"/>
        </c:dLbls>
        <c:firstSliceAng val="0"/>
        <c:holeSize val="50"/>
      </c:doughnutChart>
      <c:spPr>
        <a:solidFill>
          <a:schemeClr val="bg1"/>
        </a:solid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12700" cap="flat" cmpd="sng" algn="ctr">
      <a:solidFill>
        <a:schemeClr val="bg1">
          <a:lumMod val="6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withinLinearReversed" id="21">
  <a:schemeClr val="accent1"/>
</cs:colorStyle>
</file>

<file path=xl/charts/colors3.xml><?xml version="1.0" encoding="utf-8"?>
<cs:colorStyle xmlns:cs="http://schemas.microsoft.com/office/drawing/2012/chartStyle" xmlns:a="http://schemas.openxmlformats.org/drawingml/2006/main" meth="withinLinear" id="14">
  <a:schemeClr val="accent1"/>
</cs:colorStyle>
</file>

<file path=xl/charts/style1.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 Id="rId6" Type="http://schemas.openxmlformats.org/officeDocument/2006/relationships/image" Target="../media/image1.png"/><Relationship Id="rId5" Type="http://schemas.microsoft.com/office/2011/relationships/webextension" Target="../webextensions/webextension1.xml"/><Relationship Id="rId4" Type="http://schemas.openxmlformats.org/officeDocument/2006/relationships/chart" Target="../charts/chart4.xml"/></Relationships>
</file>

<file path=xl/drawings/drawing1.xml><?xml version="1.0" encoding="utf-8"?>
<xdr:wsDr xmlns:xdr="http://schemas.openxmlformats.org/drawingml/2006/spreadsheetDrawing" xmlns:a="http://schemas.openxmlformats.org/drawingml/2006/main">
  <xdr:twoCellAnchor editAs="oneCell">
    <xdr:from>
      <xdr:col>15</xdr:col>
      <xdr:colOff>7471</xdr:colOff>
      <xdr:row>20</xdr:row>
      <xdr:rowOff>2197</xdr:rowOff>
    </xdr:from>
    <xdr:to>
      <xdr:col>21</xdr:col>
      <xdr:colOff>1043941</xdr:colOff>
      <xdr:row>32</xdr:row>
      <xdr:rowOff>611</xdr:rowOff>
    </xdr:to>
    <xdr:graphicFrame macro="">
      <xdr:nvGraphicFramePr>
        <xdr:cNvPr id="4" name="Monthly spendings">
          <a:extLst>
            <a:ext uri="{FF2B5EF4-FFF2-40B4-BE49-F238E27FC236}">
              <a16:creationId xmlns:a16="http://schemas.microsoft.com/office/drawing/2014/main" id="{00000000-0008-0000-00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11</xdr:col>
      <xdr:colOff>7470</xdr:colOff>
      <xdr:row>7</xdr:row>
      <xdr:rowOff>5214</xdr:rowOff>
    </xdr:from>
    <xdr:to>
      <xdr:col>21</xdr:col>
      <xdr:colOff>1043939</xdr:colOff>
      <xdr:row>18</xdr:row>
      <xdr:rowOff>37353</xdr:rowOff>
    </xdr:to>
    <xdr:graphicFrame macro="">
      <xdr:nvGraphicFramePr>
        <xdr:cNvPr id="5" name="month in vs out">
          <a:extLst>
            <a:ext uri="{FF2B5EF4-FFF2-40B4-BE49-F238E27FC236}">
              <a16:creationId xmlns:a16="http://schemas.microsoft.com/office/drawing/2014/main" id="{00000000-0008-0000-00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oneCell">
    <xdr:from>
      <xdr:col>7</xdr:col>
      <xdr:colOff>9977</xdr:colOff>
      <xdr:row>20</xdr:row>
      <xdr:rowOff>15193</xdr:rowOff>
    </xdr:from>
    <xdr:to>
      <xdr:col>14</xdr:col>
      <xdr:colOff>465131</xdr:colOff>
      <xdr:row>32</xdr:row>
      <xdr:rowOff>1</xdr:rowOff>
    </xdr:to>
    <xdr:graphicFrame macro="">
      <xdr:nvGraphicFramePr>
        <xdr:cNvPr id="6" name="Category ">
          <a:extLst>
            <a:ext uri="{FF2B5EF4-FFF2-40B4-BE49-F238E27FC236}">
              <a16:creationId xmlns:a16="http://schemas.microsoft.com/office/drawing/2014/main" id="{00000000-0008-0000-0000-00000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7</xdr:col>
      <xdr:colOff>5013</xdr:colOff>
      <xdr:row>7</xdr:row>
      <xdr:rowOff>7519</xdr:rowOff>
    </xdr:from>
    <xdr:to>
      <xdr:col>9</xdr:col>
      <xdr:colOff>944980</xdr:colOff>
      <xdr:row>18</xdr:row>
      <xdr:rowOff>38200</xdr:rowOff>
    </xdr:to>
    <xdr:graphicFrame macro="">
      <xdr:nvGraphicFramePr>
        <xdr:cNvPr id="8" name="Total in vs out">
          <a:extLst>
            <a:ext uri="{FF2B5EF4-FFF2-40B4-BE49-F238E27FC236}">
              <a16:creationId xmlns:a16="http://schemas.microsoft.com/office/drawing/2014/main" id="{D4E60AC8-2302-473E-89D5-1158EEE4E287}"/>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3</xdr:col>
      <xdr:colOff>349922</xdr:colOff>
      <xdr:row>14</xdr:row>
      <xdr:rowOff>137459</xdr:rowOff>
    </xdr:from>
    <xdr:to>
      <xdr:col>4</xdr:col>
      <xdr:colOff>673548</xdr:colOff>
      <xdr:row>16</xdr:row>
      <xdr:rowOff>38399</xdr:rowOff>
    </xdr:to>
    <xdr:sp macro="[0]!chart_update" textlink="">
      <xdr:nvSpPr>
        <xdr:cNvPr id="2" name="Rectangle: Rounded Corners 1">
          <a:extLst>
            <a:ext uri="{FF2B5EF4-FFF2-40B4-BE49-F238E27FC236}">
              <a16:creationId xmlns:a16="http://schemas.microsoft.com/office/drawing/2014/main" id="{CBB9C966-1638-47E7-9916-924F719C23EB}"/>
            </a:ext>
          </a:extLst>
        </xdr:cNvPr>
        <xdr:cNvSpPr/>
      </xdr:nvSpPr>
      <xdr:spPr>
        <a:xfrm>
          <a:off x="906182" y="2713019"/>
          <a:ext cx="788446" cy="266700"/>
        </a:xfrm>
        <a:prstGeom prst="roundRect">
          <a:avLst/>
        </a:prstGeom>
        <a:solidFill>
          <a:schemeClr val="bg2">
            <a:lumMod val="90000"/>
          </a:schemeClr>
        </a:solidFill>
        <a:ln>
          <a:solidFill>
            <a:schemeClr val="bg2"/>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pl-PL" sz="1200">
              <a:solidFill>
                <a:sysClr val="windowText" lastClr="000000"/>
              </a:solidFill>
            </a:rPr>
            <a:t>Save</a:t>
          </a:r>
          <a:endParaRPr lang="en-US" sz="1200">
            <a:solidFill>
              <a:sysClr val="windowText" lastClr="000000"/>
            </a:solidFill>
          </a:endParaRPr>
        </a:p>
      </xdr:txBody>
    </xdr:sp>
    <xdr:clientData fLocksWithSheet="0"/>
  </xdr:twoCellAnchor>
  <xdr:oneCellAnchor>
    <xdr:from>
      <xdr:col>1</xdr:col>
      <xdr:colOff>99060</xdr:colOff>
      <xdr:row>17</xdr:row>
      <xdr:rowOff>123563</xdr:rowOff>
    </xdr:from>
    <xdr:ext cx="2052000" cy="1661160"/>
    <mc:AlternateContent xmlns:mc="http://schemas.openxmlformats.org/markup-compatibility/2006" xmlns:a14="http://schemas.microsoft.com/office/drawing/2010/main">
      <mc:Choice Requires="a14">
        <xdr:graphicFrame macro="">
          <xdr:nvGraphicFramePr>
            <xdr:cNvPr id="9" name="CATEGORY 4">
              <a:extLst>
                <a:ext uri="{FF2B5EF4-FFF2-40B4-BE49-F238E27FC236}">
                  <a16:creationId xmlns:a16="http://schemas.microsoft.com/office/drawing/2014/main" id="{CF631BFD-1C62-4BDB-9AD9-59C2E976894B}"/>
                </a:ext>
              </a:extLst>
            </xdr:cNvPr>
            <xdr:cNvGraphicFramePr/>
          </xdr:nvGraphicFramePr>
          <xdr:xfrm>
            <a:off x="0" y="0"/>
            <a:ext cx="0" cy="0"/>
          </xdr:xfrm>
          <a:graphic>
            <a:graphicData uri="http://schemas.microsoft.com/office/drawing/2010/slicer">
              <sle:slicer xmlns:sle="http://schemas.microsoft.com/office/drawing/2010/slicer" name="CATEGORY 4"/>
            </a:graphicData>
          </a:graphic>
        </xdr:graphicFrame>
      </mc:Choice>
      <mc:Fallback xmlns="">
        <xdr:sp macro="" textlink="">
          <xdr:nvSpPr>
            <xdr:cNvPr id="0" name=""/>
            <xdr:cNvSpPr>
              <a:spLocks noTextEdit="1"/>
            </xdr:cNvSpPr>
          </xdr:nvSpPr>
          <xdr:spPr>
            <a:xfrm>
              <a:off x="213360" y="3247763"/>
              <a:ext cx="2052000" cy="166116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fLocksWithSheet="0"/>
  </xdr:oneCellAnchor>
  <xdr:oneCellAnchor>
    <xdr:from>
      <xdr:col>9</xdr:col>
      <xdr:colOff>297180</xdr:colOff>
      <xdr:row>34</xdr:row>
      <xdr:rowOff>0</xdr:rowOff>
    </xdr:from>
    <xdr:ext cx="830580" cy="264560"/>
    <xdr:sp macro="" textlink="">
      <xdr:nvSpPr>
        <xdr:cNvPr id="7" name="TextBox 6">
          <a:extLst>
            <a:ext uri="{FF2B5EF4-FFF2-40B4-BE49-F238E27FC236}">
              <a16:creationId xmlns:a16="http://schemas.microsoft.com/office/drawing/2014/main" id="{D2992ED4-BF7C-0FB3-5F72-CEB063598B56}"/>
            </a:ext>
          </a:extLst>
        </xdr:cNvPr>
        <xdr:cNvSpPr txBox="1"/>
      </xdr:nvSpPr>
      <xdr:spPr>
        <a:xfrm>
          <a:off x="4533900" y="6461760"/>
          <a:ext cx="830580"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endParaRPr lang="en-US" sz="1100"/>
        </a:p>
      </xdr:txBody>
    </xdr:sp>
    <xdr:clientData/>
  </xdr:oneCellAnchor>
  <xdr:twoCellAnchor>
    <xdr:from>
      <xdr:col>4</xdr:col>
      <xdr:colOff>0</xdr:colOff>
      <xdr:row>8</xdr:row>
      <xdr:rowOff>0</xdr:rowOff>
    </xdr:from>
    <xdr:to>
      <xdr:col>6</xdr:col>
      <xdr:colOff>45720</xdr:colOff>
      <xdr:row>14</xdr:row>
      <xdr:rowOff>121920</xdr:rowOff>
    </xdr:to>
    <mc:AlternateContent xmlns:mc="http://schemas.openxmlformats.org/markup-compatibility/2006">
      <mc:Choice xmlns:we="http://schemas.microsoft.com/office/webextensions/webextension/2010/11" Requires="we">
        <xdr:graphicFrame macro="">
          <xdr:nvGraphicFramePr>
            <xdr:cNvPr id="3" name="Calendar" hidden="1">
              <a:extLst>
                <a:ext uri="{FF2B5EF4-FFF2-40B4-BE49-F238E27FC236}">
                  <a16:creationId xmlns:a16="http://schemas.microsoft.com/office/drawing/2014/main" id="{D4B2A874-14BB-EF55-544E-625F424E4572}"/>
                </a:ext>
              </a:extLst>
            </xdr:cNvPr>
            <xdr:cNvGraphicFramePr>
              <a:graphicFrameLocks noGrp="1"/>
            </xdr:cNvGraphicFramePr>
          </xdr:nvGraphicFramePr>
          <xdr:xfrm>
            <a:off x="0" y="0"/>
            <a:ext cx="0" cy="0"/>
          </xdr:xfrm>
          <a:graphic>
            <a:graphicData uri="http://schemas.microsoft.com/office/webextensions/webextension/2010/11">
              <we:webextensionref xmlns:we="http://schemas.microsoft.com/office/webextensions/webextension/2010/11" xmlns:r="http://schemas.openxmlformats.org/officeDocument/2006/relationships" r:id="rId5"/>
            </a:graphicData>
          </a:graphic>
        </xdr:graphicFrame>
      </mc:Choice>
      <mc:Fallback>
        <xdr:pic>
          <xdr:nvPicPr>
            <xdr:cNvPr id="3" name="Calendar">
              <a:extLst>
                <a:ext uri="{FF2B5EF4-FFF2-40B4-BE49-F238E27FC236}">
                  <a16:creationId xmlns:a16="http://schemas.microsoft.com/office/drawing/2014/main" id="{D4B2A874-14BB-EF55-544E-625F424E4572}"/>
                </a:ext>
              </a:extLst>
            </xdr:cNvPr>
            <xdr:cNvPicPr/>
          </xdr:nvPicPr>
          <xdr:blipFill>
            <a:blip xmlns:r="http://schemas.openxmlformats.org/officeDocument/2006/relationships" r:embed="rId6"/>
            <a:stretch>
              <a:fillRect/>
            </a:stretch>
          </xdr:blipFill>
          <xdr:spPr>
            <a:prstGeom prst="rect">
              <a:avLst/>
            </a:prstGeom>
          </xdr:spPr>
        </xdr:pic>
      </mc:Fallback>
    </mc:AlternateContent>
    <xdr:clientData fLocksWithSheet="0"/>
  </xdr:twoCellAnchor>
  <xdr:twoCellAnchor editAs="oneCell">
    <xdr:from>
      <xdr:col>1</xdr:col>
      <xdr:colOff>76200</xdr:colOff>
      <xdr:row>26</xdr:row>
      <xdr:rowOff>114301</xdr:rowOff>
    </xdr:from>
    <xdr:to>
      <xdr:col>5</xdr:col>
      <xdr:colOff>215580</xdr:colOff>
      <xdr:row>30</xdr:row>
      <xdr:rowOff>160020</xdr:rowOff>
    </xdr:to>
    <mc:AlternateContent xmlns:mc="http://schemas.openxmlformats.org/markup-compatibility/2006" xmlns:a14="http://schemas.microsoft.com/office/drawing/2010/main">
      <mc:Choice Requires="a14">
        <xdr:graphicFrame macro="">
          <xdr:nvGraphicFramePr>
            <xdr:cNvPr id="17" name="Months 1">
              <a:extLst>
                <a:ext uri="{FF2B5EF4-FFF2-40B4-BE49-F238E27FC236}">
                  <a16:creationId xmlns:a16="http://schemas.microsoft.com/office/drawing/2014/main" id="{28453A14-72F0-405D-A774-89889D4DA64C}"/>
                </a:ext>
              </a:extLst>
            </xdr:cNvPr>
            <xdr:cNvGraphicFramePr/>
          </xdr:nvGraphicFramePr>
          <xdr:xfrm>
            <a:off x="0" y="0"/>
            <a:ext cx="0" cy="0"/>
          </xdr:xfrm>
          <a:graphic>
            <a:graphicData uri="http://schemas.microsoft.com/office/drawing/2010/slicer">
              <sle:slicer xmlns:sle="http://schemas.microsoft.com/office/drawing/2010/slicer" name="Months 1"/>
            </a:graphicData>
          </a:graphic>
        </xdr:graphicFrame>
      </mc:Choice>
      <mc:Fallback xmlns="">
        <xdr:sp macro="" textlink="">
          <xdr:nvSpPr>
            <xdr:cNvPr id="0" name=""/>
            <xdr:cNvSpPr>
              <a:spLocks noTextEdit="1"/>
            </xdr:cNvSpPr>
          </xdr:nvSpPr>
          <xdr:spPr>
            <a:xfrm>
              <a:off x="190500" y="4884421"/>
              <a:ext cx="2052000" cy="777239"/>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fLocksWithSheet="0"/>
  </xdr:twoCellAnchor>
</xdr:wsDr>
</file>

<file path=xl/drawings/drawing2.xml><?xml version="1.0" encoding="utf-8"?>
<xdr:wsDr xmlns:xdr="http://schemas.openxmlformats.org/drawingml/2006/spreadsheetDrawing" xmlns:a="http://schemas.openxmlformats.org/drawingml/2006/main">
  <xdr:twoCellAnchor editAs="oneCell">
    <xdr:from>
      <xdr:col>13</xdr:col>
      <xdr:colOff>15240</xdr:colOff>
      <xdr:row>2</xdr:row>
      <xdr:rowOff>45720</xdr:rowOff>
    </xdr:from>
    <xdr:to>
      <xdr:col>14</xdr:col>
      <xdr:colOff>586740</xdr:colOff>
      <xdr:row>16</xdr:row>
      <xdr:rowOff>51435</xdr:rowOff>
    </xdr:to>
    <mc:AlternateContent xmlns:mc="http://schemas.openxmlformats.org/markup-compatibility/2006" xmlns:a14="http://schemas.microsoft.com/office/drawing/2010/main">
      <mc:Choice Requires="a14">
        <xdr:graphicFrame macro="">
          <xdr:nvGraphicFramePr>
            <xdr:cNvPr id="3" name="CATEGORY">
              <a:extLst>
                <a:ext uri="{FF2B5EF4-FFF2-40B4-BE49-F238E27FC236}">
                  <a16:creationId xmlns:a16="http://schemas.microsoft.com/office/drawing/2014/main" id="{00000000-0008-0000-0500-000003000000}"/>
                </a:ext>
              </a:extLst>
            </xdr:cNvPr>
            <xdr:cNvGraphicFramePr/>
          </xdr:nvGraphicFramePr>
          <xdr:xfrm>
            <a:off x="0" y="0"/>
            <a:ext cx="0" cy="0"/>
          </xdr:xfrm>
          <a:graphic>
            <a:graphicData uri="http://schemas.microsoft.com/office/drawing/2010/slicer">
              <sle:slicer xmlns:sle="http://schemas.microsoft.com/office/drawing/2010/slicer" name="CATEGORY"/>
            </a:graphicData>
          </a:graphic>
        </xdr:graphicFrame>
      </mc:Choice>
      <mc:Fallback xmlns="">
        <xdr:sp macro="" textlink="">
          <xdr:nvSpPr>
            <xdr:cNvPr id="0" name=""/>
            <xdr:cNvSpPr>
              <a:spLocks noTextEdit="1"/>
            </xdr:cNvSpPr>
          </xdr:nvSpPr>
          <xdr:spPr>
            <a:xfrm>
              <a:off x="16718280" y="411480"/>
              <a:ext cx="1828800" cy="258127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drawings/drawing3.xml><?xml version="1.0" encoding="utf-8"?>
<xdr:wsDr xmlns:xdr="http://schemas.openxmlformats.org/drawingml/2006/spreadsheetDrawing" xmlns:a="http://schemas.openxmlformats.org/drawingml/2006/main">
  <xdr:twoCellAnchor editAs="oneCell">
    <xdr:from>
      <xdr:col>3</xdr:col>
      <xdr:colOff>411480</xdr:colOff>
      <xdr:row>2</xdr:row>
      <xdr:rowOff>99061</xdr:rowOff>
    </xdr:from>
    <xdr:to>
      <xdr:col>6</xdr:col>
      <xdr:colOff>358140</xdr:colOff>
      <xdr:row>9</xdr:row>
      <xdr:rowOff>60960</xdr:rowOff>
    </xdr:to>
    <mc:AlternateContent xmlns:mc="http://schemas.openxmlformats.org/markup-compatibility/2006" xmlns:a14="http://schemas.microsoft.com/office/drawing/2010/main">
      <mc:Choice Requires="a14">
        <xdr:graphicFrame macro="">
          <xdr:nvGraphicFramePr>
            <xdr:cNvPr id="3" name="Months">
              <a:extLst>
                <a:ext uri="{FF2B5EF4-FFF2-40B4-BE49-F238E27FC236}">
                  <a16:creationId xmlns:a16="http://schemas.microsoft.com/office/drawing/2014/main" id="{AC65B18B-2556-9D50-DA3D-8847341FCDEE}"/>
                </a:ext>
              </a:extLst>
            </xdr:cNvPr>
            <xdr:cNvGraphicFramePr/>
          </xdr:nvGraphicFramePr>
          <xdr:xfrm>
            <a:off x="0" y="0"/>
            <a:ext cx="0" cy="0"/>
          </xdr:xfrm>
          <a:graphic>
            <a:graphicData uri="http://schemas.microsoft.com/office/drawing/2010/slicer">
              <sle:slicer xmlns:sle="http://schemas.microsoft.com/office/drawing/2010/slicer" name="Months"/>
            </a:graphicData>
          </a:graphic>
        </xdr:graphicFrame>
      </mc:Choice>
      <mc:Fallback xmlns="">
        <xdr:sp macro="" textlink="">
          <xdr:nvSpPr>
            <xdr:cNvPr id="0" name=""/>
            <xdr:cNvSpPr>
              <a:spLocks noTextEdit="1"/>
            </xdr:cNvSpPr>
          </xdr:nvSpPr>
          <xdr:spPr>
            <a:xfrm>
              <a:off x="3162300" y="464821"/>
              <a:ext cx="2072640" cy="1242059"/>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_rels/pivotCacheDefinition2.xml.rels><?xml version="1.0" encoding="UTF-8" standalone="yes"?>
<Relationships xmlns="http://schemas.openxmlformats.org/package/2006/relationships"><Relationship Id="rId1" Type="http://schemas.openxmlformats.org/officeDocument/2006/relationships/pivotCacheRecords" Target="pivotCacheRecords2.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Karolina Opasik" refreshedDate="45460.401846180554" createdVersion="8" refreshedVersion="8" minRefreshableVersion="3" recordCount="76" xr:uid="{E55F7404-5D0E-4AE7-BC07-23B5F1711BE7}">
  <cacheSource type="worksheet">
    <worksheetSource name="Data"/>
  </cacheSource>
  <cacheFields count="8">
    <cacheField name="TYPE" numFmtId="0">
      <sharedItems containsMixedTypes="1" containsNumber="1" containsInteger="1" minValue="0" maxValue="0" count="3">
        <s v="Expense"/>
        <s v="Income"/>
        <n v="0" u="1"/>
      </sharedItems>
    </cacheField>
    <cacheField name="DATE" numFmtId="14">
      <sharedItems containsSemiMixedTypes="0" containsNonDate="0" containsDate="1" containsString="0" minDate="1899-12-30T00:00:00" maxDate="2024-06-21T00:00:00" count="70">
        <d v="2024-05-25T00:00:00"/>
        <d v="2024-05-22T00:00:00"/>
        <d v="2024-05-19T00:00:00"/>
        <d v="2024-05-17T00:00:00"/>
        <d v="2024-05-15T00:00:00"/>
        <d v="2024-05-14T00:00:00"/>
        <d v="2024-05-08T00:00:00"/>
        <d v="2024-05-07T00:00:00"/>
        <d v="2024-05-05T00:00:00"/>
        <d v="2024-04-25T00:00:00"/>
        <d v="2024-04-22T00:00:00"/>
        <d v="2024-04-19T00:00:00"/>
        <d v="2024-04-17T00:00:00"/>
        <d v="2024-04-15T00:00:00"/>
        <d v="2024-04-14T00:00:00"/>
        <d v="2024-04-08T00:00:00"/>
        <d v="2024-04-07T00:00:00"/>
        <d v="2024-04-05T00:00:00"/>
        <d v="2024-03-23T00:00:00"/>
        <d v="2024-03-21T00:00:00"/>
        <d v="2024-03-20T00:00:00"/>
        <d v="2024-03-18T00:00:00"/>
        <d v="2024-03-17T00:00:00"/>
        <d v="2024-03-15T00:00:00"/>
        <d v="2024-03-14T00:00:00"/>
        <d v="2024-03-12T00:00:00"/>
        <d v="2024-03-10T00:00:00"/>
        <d v="2024-03-07T00:00:00"/>
        <d v="2024-03-05T00:00:00"/>
        <d v="2024-03-03T00:00:00"/>
        <d v="2024-02-21T00:00:00"/>
        <d v="2024-02-20T00:00:00"/>
        <d v="2024-02-18T00:00:00"/>
        <d v="2024-02-17T00:00:00"/>
        <d v="2024-02-15T00:00:00"/>
        <d v="2024-02-14T00:00:00"/>
        <d v="2024-02-07T00:00:00"/>
        <d v="2024-02-05T00:00:00"/>
        <d v="2024-02-02T00:00:00"/>
        <d v="2024-01-23T00:00:00"/>
        <d v="2024-01-21T00:00:00"/>
        <d v="2024-01-20T00:00:00"/>
        <d v="2024-01-18T00:00:00"/>
        <d v="2024-01-17T00:00:00"/>
        <d v="2024-01-15T00:00:00"/>
        <d v="2024-01-14T00:00:00"/>
        <d v="2024-01-10T00:00:00"/>
        <d v="2024-01-08T00:00:00"/>
        <d v="2024-01-07T00:00:00"/>
        <d v="2024-01-05T00:00:00"/>
        <d v="2024-01-02T00:00:00"/>
        <d v="2024-06-18T00:00:00" u="1"/>
        <d v="2024-06-20T00:00:00" u="1"/>
        <d v="2024-06-11T00:00:00" u="1"/>
        <d v="1899-12-30T00:00:00" u="1"/>
        <d v="2024-06-19T00:00:00" u="1"/>
        <d v="2024-06-13T00:00:00" u="1"/>
        <d v="2024-04-11T00:00:00" u="1"/>
        <d v="2024-04-24T00:00:00" u="1"/>
        <d v="2024-04-09T00:00:00" u="1"/>
        <d v="2024-04-10T00:00:00" u="1"/>
        <d v="2024-04-04T00:00:00" u="1"/>
        <d v="2024-04-27T00:00:00" u="1"/>
        <d v="2024-02-23T00:00:00" u="1"/>
        <d v="2024-04-06T00:00:00" u="1"/>
        <d v="2024-04-02T00:00:00" u="1"/>
        <d v="2024-03-22T00:00:00" u="1"/>
        <d v="2024-02-22T00:00:00" u="1"/>
        <d v="2024-02-10T00:00:00" u="1"/>
        <d v="2024-01-22T00:00:00" u="1"/>
      </sharedItems>
      <fieldGroup par="7"/>
    </cacheField>
    <cacheField name="AMOUNT" numFmtId="0">
      <sharedItems containsSemiMixedTypes="0" containsString="0" containsNumber="1" containsInteger="1" minValue="70" maxValue="65000"/>
    </cacheField>
    <cacheField name="CATEGORY" numFmtId="0">
      <sharedItems containsMixedTypes="1" containsNumber="1" containsInteger="1" minValue="0" maxValue="0" count="15">
        <s v="Transportation"/>
        <s v="Food"/>
        <s v="Lifestyle"/>
        <s v="Utilities"/>
        <s v="Beauty"/>
        <s v="Salary"/>
        <s v="Fashion"/>
        <s v="Gifts"/>
        <s v="Wants"/>
        <s v="Investments"/>
        <s v="Health"/>
        <s v="Pets"/>
        <s v="Housing"/>
        <s v="Other"/>
        <n v="0" u="1"/>
      </sharedItems>
    </cacheField>
    <cacheField name="SUBCATEGORY" numFmtId="0">
      <sharedItems containsBlank="1"/>
    </cacheField>
    <cacheField name="Months (DATE)" numFmtId="0" databaseField="0">
      <fieldGroup base="1">
        <rangePr groupBy="months" startDate="2024-01-02T00:00:00" endDate="2024-05-26T00:00:00"/>
        <groupItems count="14">
          <s v="&lt;02/01/2024"/>
          <s v="Jan"/>
          <s v="Feb"/>
          <s v="Mar"/>
          <s v="Apr"/>
          <s v="May"/>
          <s v="Jun"/>
          <s v="Jul"/>
          <s v="Aug"/>
          <s v="Sep"/>
          <s v="Oct"/>
          <s v="Nov"/>
          <s v="Dec"/>
          <s v="&gt;26/05/2024"/>
        </groupItems>
      </fieldGroup>
    </cacheField>
    <cacheField name="Quarters (DATE)" numFmtId="0" databaseField="0">
      <fieldGroup base="1">
        <rangePr groupBy="quarters" startDate="2024-01-02T00:00:00" endDate="2024-05-26T00:00:00"/>
        <groupItems count="6">
          <s v="&lt;02/01/2024"/>
          <s v="Qtr1"/>
          <s v="Qtr2"/>
          <s v="Qtr3"/>
          <s v="Qtr4"/>
          <s v="&gt;26/05/2024"/>
        </groupItems>
      </fieldGroup>
    </cacheField>
    <cacheField name="Years (DATE)" numFmtId="0" databaseField="0">
      <fieldGroup base="1">
        <rangePr groupBy="years" startDate="2024-01-02T00:00:00" endDate="2024-05-26T00:00:00"/>
        <groupItems count="3">
          <s v="&lt;02/01/2024"/>
          <s v="2024"/>
          <s v="&gt;26/05/2024"/>
        </groupItems>
      </fieldGroup>
    </cacheField>
  </cacheFields>
  <extLst>
    <ext xmlns:x14="http://schemas.microsoft.com/office/spreadsheetml/2009/9/main" uri="{725AE2AE-9491-48be-B2B4-4EB974FC3084}">
      <x14:pivotCacheDefinition pivotCacheId="1083125008"/>
    </ext>
  </extLst>
</pivotCacheDefinition>
</file>

<file path=xl/pivotCache/pivotCacheDefinition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Karolina Opasik" refreshedDate="45460.401846527777" createdVersion="8" refreshedVersion="8" minRefreshableVersion="3" recordCount="76" xr:uid="{40ED3C90-8E06-46AC-92CC-D694435280BF}">
  <cacheSource type="worksheet">
    <worksheetSource name="Data"/>
  </cacheSource>
  <cacheFields count="8">
    <cacheField name="TYPE" numFmtId="0">
      <sharedItems containsMixedTypes="1" containsNumber="1" containsInteger="1" minValue="0" maxValue="0" count="3">
        <s v="Expense"/>
        <s v="Income"/>
        <n v="0" u="1"/>
      </sharedItems>
    </cacheField>
    <cacheField name="DATE" numFmtId="14">
      <sharedItems containsSemiMixedTypes="0" containsNonDate="0" containsDate="1" containsString="0" minDate="1899-12-30T00:00:00" maxDate="2034-03-24T00:00:00" count="127">
        <d v="2024-05-25T00:00:00"/>
        <d v="2024-05-22T00:00:00"/>
        <d v="2024-05-19T00:00:00"/>
        <d v="2024-05-17T00:00:00"/>
        <d v="2024-05-15T00:00:00"/>
        <d v="2024-05-14T00:00:00"/>
        <d v="2024-05-08T00:00:00"/>
        <d v="2024-05-07T00:00:00"/>
        <d v="2024-05-05T00:00:00"/>
        <d v="2024-04-25T00:00:00"/>
        <d v="2024-04-22T00:00:00"/>
        <d v="2024-04-19T00:00:00"/>
        <d v="2024-04-17T00:00:00"/>
        <d v="2024-04-15T00:00:00"/>
        <d v="2024-04-14T00:00:00"/>
        <d v="2024-04-08T00:00:00"/>
        <d v="2024-04-07T00:00:00"/>
        <d v="2024-04-05T00:00:00"/>
        <d v="2024-03-23T00:00:00"/>
        <d v="2024-03-21T00:00:00"/>
        <d v="2024-03-20T00:00:00"/>
        <d v="2024-03-18T00:00:00"/>
        <d v="2024-03-17T00:00:00"/>
        <d v="2024-03-15T00:00:00"/>
        <d v="2024-03-14T00:00:00"/>
        <d v="2024-03-12T00:00:00"/>
        <d v="2024-03-10T00:00:00"/>
        <d v="2024-03-07T00:00:00"/>
        <d v="2024-03-05T00:00:00"/>
        <d v="2024-03-03T00:00:00"/>
        <d v="2024-02-21T00:00:00"/>
        <d v="2024-02-20T00:00:00"/>
        <d v="2024-02-18T00:00:00"/>
        <d v="2024-02-17T00:00:00"/>
        <d v="2024-02-15T00:00:00"/>
        <d v="2024-02-14T00:00:00"/>
        <d v="2024-02-07T00:00:00"/>
        <d v="2024-02-05T00:00:00"/>
        <d v="2024-02-02T00:00:00"/>
        <d v="2024-01-23T00:00:00"/>
        <d v="2024-01-21T00:00:00"/>
        <d v="2024-01-20T00:00:00"/>
        <d v="2024-01-18T00:00:00"/>
        <d v="2024-01-17T00:00:00"/>
        <d v="2024-01-15T00:00:00"/>
        <d v="2024-01-14T00:00:00"/>
        <d v="2024-01-10T00:00:00"/>
        <d v="2024-01-08T00:00:00"/>
        <d v="2024-01-07T00:00:00"/>
        <d v="2024-01-05T00:00:00"/>
        <d v="2024-01-02T00:00:00"/>
        <d v="2024-06-18T00:00:00" u="1"/>
        <d v="2024-06-20T00:00:00" u="1"/>
        <d v="2024-06-11T00:00:00" u="1"/>
        <d v="1899-12-30T00:00:00" u="1"/>
        <d v="2024-06-19T00:00:00" u="1"/>
        <d v="2024-06-13T00:00:00" u="1"/>
        <d v="2024-04-11T00:00:00" u="1"/>
        <d v="2024-04-24T00:00:00" u="1"/>
        <d v="2024-04-09T00:00:00" u="1"/>
        <d v="2024-04-10T00:00:00" u="1"/>
        <d v="2024-04-04T00:00:00" u="1"/>
        <d v="2024-04-27T00:00:00" u="1"/>
        <d v="2024-02-23T00:00:00" u="1"/>
        <d v="2024-04-06T00:00:00" u="1"/>
        <d v="2024-04-02T00:00:00" u="1"/>
        <d v="2024-03-22T00:00:00" u="1"/>
        <d v="2024-02-22T00:00:00" u="1"/>
        <d v="2024-02-10T00:00:00" u="1"/>
        <d v="2024-01-22T00:00:00" u="1"/>
        <d v="2024-05-06T00:00:00" u="1"/>
        <d v="2034-03-23T00:00:00" u="1"/>
        <d v="2034-03-22T00:00:00" u="1"/>
        <d v="2034-03-21T00:00:00" u="1"/>
        <d v="2034-03-20T00:00:00" u="1"/>
        <d v="2034-03-18T00:00:00" u="1"/>
        <d v="2034-03-17T00:00:00" u="1"/>
        <d v="2034-03-14T00:00:00" u="1"/>
        <d v="2034-03-15T00:00:00" u="1"/>
        <d v="2034-03-10T00:00:00" u="1"/>
        <d v="2034-03-07T00:00:00" u="1"/>
        <d v="2034-03-05T00:00:00" u="1"/>
        <d v="2034-03-03T00:00:00" u="1"/>
        <d v="2024-09-15T00:00:00" u="1"/>
        <d v="2024-09-12T00:00:00" u="1"/>
        <d v="2024-09-07T00:00:00" u="1"/>
        <d v="2024-08-25T00:00:00" u="1"/>
        <d v="2024-08-24T00:00:00" u="1"/>
        <d v="2024-08-15T00:00:00" u="1"/>
        <d v="2024-07-15T00:00:00" u="1"/>
        <d v="2024-07-12T00:00:00" u="1"/>
        <d v="2024-07-07T00:00:00" u="1"/>
        <d v="2024-06-25T00:00:00" u="1"/>
        <d v="2024-06-24T00:00:00" u="1"/>
        <d v="2024-06-15T00:00:00" u="1"/>
        <d v="2024-05-12T00:00:00" u="1"/>
        <d v="2024-03-16T00:00:00" u="1"/>
        <d v="2024-03-13T00:00:00" u="1"/>
        <d v="2024-03-11T00:00:00" u="1"/>
        <d v="2024-03-09T00:00:00" u="1"/>
        <d v="2024-03-08T00:00:00" u="1"/>
        <d v="2024-03-04T00:00:00" u="1"/>
        <d v="2024-03-02T00:00:00" u="1"/>
        <d v="2024-03-01T00:00:00" u="1"/>
        <d v="2024-02-29T00:00:00" u="1"/>
        <d v="2024-02-28T00:00:00" u="1"/>
        <d v="2024-02-27T00:00:00" u="1"/>
        <d v="2024-02-26T00:00:00" u="1"/>
        <d v="2024-02-25T00:00:00" u="1"/>
        <d v="2024-02-24T00:00:00" u="1"/>
        <d v="2024-02-19T00:00:00" u="1"/>
        <d v="2024-02-16T00:00:00" u="1"/>
        <d v="2024-02-13T00:00:00" u="1"/>
        <d v="2024-02-12T00:00:00" u="1"/>
        <d v="2024-02-11T00:00:00" u="1"/>
        <d v="2024-02-09T00:00:00" u="1"/>
        <d v="2024-02-08T00:00:00" u="1"/>
        <d v="2024-02-06T00:00:00" u="1"/>
        <d v="2024-02-04T00:00:00" u="1"/>
        <d v="2024-02-03T00:00:00" u="1"/>
        <d v="2024-02-01T00:00:00" u="1"/>
        <d v="2024-01-31T00:00:00" u="1"/>
        <d v="2024-01-30T00:00:00" u="1"/>
        <d v="2024-01-29T00:00:00" u="1"/>
        <d v="2024-01-27T00:00:00" u="1"/>
        <d v="2024-01-16T00:00:00" u="1"/>
        <d v="2024-01-12T00:00:00" u="1"/>
      </sharedItems>
      <fieldGroup par="7"/>
    </cacheField>
    <cacheField name="AMOUNT" numFmtId="0">
      <sharedItems containsSemiMixedTypes="0" containsString="0" containsNumber="1" containsInteger="1" minValue="70" maxValue="65000"/>
    </cacheField>
    <cacheField name="CATEGORY" numFmtId="0">
      <sharedItems containsMixedTypes="1" containsNumber="1" containsInteger="1" minValue="0" maxValue="0" count="15">
        <s v="Transportation"/>
        <s v="Food"/>
        <s v="Lifestyle"/>
        <s v="Utilities"/>
        <s v="Beauty"/>
        <s v="Salary"/>
        <s v="Fashion"/>
        <s v="Gifts"/>
        <s v="Wants"/>
        <s v="Investments"/>
        <s v="Health"/>
        <s v="Pets"/>
        <s v="Housing"/>
        <s v="Other"/>
        <n v="0" u="1"/>
      </sharedItems>
    </cacheField>
    <cacheField name="SUBCATEGORY" numFmtId="0">
      <sharedItems containsBlank="1"/>
    </cacheField>
    <cacheField name="Months (DATE)" numFmtId="0" databaseField="0">
      <fieldGroup base="1">
        <rangePr groupBy="months" startDate="2024-01-02T00:00:00" endDate="2024-05-26T00:00:00"/>
        <groupItems count="14">
          <s v="&lt;02/01/2024"/>
          <s v="Jan"/>
          <s v="Feb"/>
          <s v="Mar"/>
          <s v="Apr"/>
          <s v="May"/>
          <s v="Jun"/>
          <s v="Jul"/>
          <s v="Aug"/>
          <s v="Sep"/>
          <s v="Oct"/>
          <s v="Nov"/>
          <s v="Dec"/>
          <s v="&gt;26/05/2024"/>
        </groupItems>
      </fieldGroup>
    </cacheField>
    <cacheField name="Quarters (DATE)" numFmtId="0" databaseField="0">
      <fieldGroup base="1">
        <rangePr groupBy="quarters" startDate="2024-01-02T00:00:00" endDate="2024-05-26T00:00:00"/>
        <groupItems count="6">
          <s v="&lt;02/01/2024"/>
          <s v="Qtr1"/>
          <s v="Qtr2"/>
          <s v="Qtr3"/>
          <s v="Qtr4"/>
          <s v="&gt;26/05/2024"/>
        </groupItems>
      </fieldGroup>
    </cacheField>
    <cacheField name="Years (DATE)" numFmtId="0" databaseField="0">
      <fieldGroup base="1">
        <rangePr groupBy="years" startDate="2024-01-02T00:00:00" endDate="2024-05-26T00:00:00"/>
        <groupItems count="3">
          <s v="&lt;02/01/2024"/>
          <s v="2024"/>
          <s v="&gt;26/05/2024"/>
        </groupItems>
      </fieldGroup>
    </cacheField>
  </cacheFields>
  <extLst>
    <ext xmlns:x14="http://schemas.microsoft.com/office/spreadsheetml/2009/9/main" uri="{725AE2AE-9491-48be-B2B4-4EB974FC3084}">
      <x14:pivotCacheDefinition pivotCacheId="1889859766"/>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76">
  <r>
    <x v="0"/>
    <x v="0"/>
    <n v="2000"/>
    <x v="0"/>
    <s v="Maintenance"/>
  </r>
  <r>
    <x v="0"/>
    <x v="1"/>
    <n v="11170"/>
    <x v="1"/>
    <s v="Supplies"/>
  </r>
  <r>
    <x v="0"/>
    <x v="2"/>
    <n v="520"/>
    <x v="2"/>
    <s v="Books"/>
  </r>
  <r>
    <x v="0"/>
    <x v="3"/>
    <n v="500"/>
    <x v="3"/>
    <s v="Phones"/>
  </r>
  <r>
    <x v="0"/>
    <x v="3"/>
    <n v="23000"/>
    <x v="3"/>
    <s v="Mortage"/>
  </r>
  <r>
    <x v="0"/>
    <x v="4"/>
    <n v="795"/>
    <x v="4"/>
    <s v="Hair care"/>
  </r>
  <r>
    <x v="0"/>
    <x v="4"/>
    <n v="1128"/>
    <x v="4"/>
    <s v="Cosmetics"/>
  </r>
  <r>
    <x v="1"/>
    <x v="4"/>
    <n v="60000"/>
    <x v="5"/>
    <s v="Person1"/>
  </r>
  <r>
    <x v="1"/>
    <x v="4"/>
    <n v="40000"/>
    <x v="5"/>
    <s v="Person2"/>
  </r>
  <r>
    <x v="1"/>
    <x v="5"/>
    <n v="3000"/>
    <x v="5"/>
    <s v="Vouchers"/>
  </r>
  <r>
    <x v="0"/>
    <x v="6"/>
    <n v="2700"/>
    <x v="6"/>
    <s v="Shoes"/>
  </r>
  <r>
    <x v="0"/>
    <x v="6"/>
    <n v="110"/>
    <x v="7"/>
    <s v="Birthday"/>
  </r>
  <r>
    <x v="0"/>
    <x v="6"/>
    <n v="780"/>
    <x v="7"/>
    <s v="Visit"/>
  </r>
  <r>
    <x v="0"/>
    <x v="6"/>
    <n v="830"/>
    <x v="1"/>
    <s v="Supplies"/>
  </r>
  <r>
    <x v="0"/>
    <x v="6"/>
    <n v="337"/>
    <x v="7"/>
    <s v="Visit"/>
  </r>
  <r>
    <x v="0"/>
    <x v="7"/>
    <n v="70"/>
    <x v="2"/>
    <s v="Sports"/>
  </r>
  <r>
    <x v="0"/>
    <x v="7"/>
    <n v="418"/>
    <x v="4"/>
    <s v="Hygiene"/>
  </r>
  <r>
    <x v="0"/>
    <x v="7"/>
    <n v="2000"/>
    <x v="1"/>
    <s v="Supplies"/>
  </r>
  <r>
    <x v="0"/>
    <x v="8"/>
    <n v="290"/>
    <x v="2"/>
    <s v="Sports"/>
  </r>
  <r>
    <x v="0"/>
    <x v="8"/>
    <n v="840"/>
    <x v="8"/>
    <s v="Sweets"/>
  </r>
  <r>
    <x v="0"/>
    <x v="9"/>
    <n v="2000"/>
    <x v="0"/>
    <s v="Maintenance"/>
  </r>
  <r>
    <x v="0"/>
    <x v="10"/>
    <n v="11170"/>
    <x v="1"/>
    <s v="Supplies"/>
  </r>
  <r>
    <x v="0"/>
    <x v="11"/>
    <n v="520"/>
    <x v="2"/>
    <s v="Books"/>
  </r>
  <r>
    <x v="0"/>
    <x v="12"/>
    <n v="500"/>
    <x v="3"/>
    <s v="Phones"/>
  </r>
  <r>
    <x v="0"/>
    <x v="12"/>
    <n v="23000"/>
    <x v="3"/>
    <s v="Mortage"/>
  </r>
  <r>
    <x v="0"/>
    <x v="13"/>
    <n v="795"/>
    <x v="4"/>
    <s v="Hair care"/>
  </r>
  <r>
    <x v="0"/>
    <x v="13"/>
    <n v="1128"/>
    <x v="4"/>
    <s v="Cosmetics"/>
  </r>
  <r>
    <x v="1"/>
    <x v="13"/>
    <n v="60000"/>
    <x v="5"/>
    <s v="Person1"/>
  </r>
  <r>
    <x v="1"/>
    <x v="13"/>
    <n v="40000"/>
    <x v="5"/>
    <s v="Person2"/>
  </r>
  <r>
    <x v="1"/>
    <x v="14"/>
    <n v="3000"/>
    <x v="5"/>
    <s v="Vouchers"/>
  </r>
  <r>
    <x v="0"/>
    <x v="15"/>
    <n v="2700"/>
    <x v="6"/>
    <s v="Shoes"/>
  </r>
  <r>
    <x v="0"/>
    <x v="15"/>
    <n v="110"/>
    <x v="7"/>
    <s v="Birthday"/>
  </r>
  <r>
    <x v="0"/>
    <x v="15"/>
    <n v="780"/>
    <x v="7"/>
    <s v="Visit"/>
  </r>
  <r>
    <x v="0"/>
    <x v="15"/>
    <n v="830"/>
    <x v="1"/>
    <s v="Supplies"/>
  </r>
  <r>
    <x v="0"/>
    <x v="15"/>
    <n v="337"/>
    <x v="7"/>
    <s v="Visit"/>
  </r>
  <r>
    <x v="0"/>
    <x v="16"/>
    <n v="70"/>
    <x v="2"/>
    <s v="Sports"/>
  </r>
  <r>
    <x v="0"/>
    <x v="16"/>
    <n v="418"/>
    <x v="4"/>
    <s v="Hygiene"/>
  </r>
  <r>
    <x v="0"/>
    <x v="16"/>
    <n v="2000"/>
    <x v="1"/>
    <s v="Supplies"/>
  </r>
  <r>
    <x v="0"/>
    <x v="17"/>
    <n v="290"/>
    <x v="2"/>
    <s v="Sports"/>
  </r>
  <r>
    <x v="0"/>
    <x v="17"/>
    <n v="840"/>
    <x v="8"/>
    <s v="Sweets"/>
  </r>
  <r>
    <x v="0"/>
    <x v="18"/>
    <n v="700"/>
    <x v="2"/>
    <s v="Sports"/>
  </r>
  <r>
    <x v="0"/>
    <x v="19"/>
    <n v="679"/>
    <x v="3"/>
    <s v="Phones"/>
  </r>
  <r>
    <x v="0"/>
    <x v="20"/>
    <n v="647"/>
    <x v="7"/>
    <s v="Birthday"/>
  </r>
  <r>
    <x v="0"/>
    <x v="21"/>
    <n v="10000"/>
    <x v="9"/>
    <m/>
  </r>
  <r>
    <x v="0"/>
    <x v="22"/>
    <n v="23000"/>
    <x v="3"/>
    <s v="Mortage"/>
  </r>
  <r>
    <x v="1"/>
    <x v="23"/>
    <n v="65000"/>
    <x v="5"/>
    <s v="Person1"/>
  </r>
  <r>
    <x v="1"/>
    <x v="23"/>
    <n v="41000"/>
    <x v="5"/>
    <s v="Person2"/>
  </r>
  <r>
    <x v="1"/>
    <x v="24"/>
    <n v="3000"/>
    <x v="5"/>
    <s v="Vouchers"/>
  </r>
  <r>
    <x v="0"/>
    <x v="25"/>
    <n v="986"/>
    <x v="10"/>
    <s v="Medications"/>
  </r>
  <r>
    <x v="0"/>
    <x v="26"/>
    <n v="2000"/>
    <x v="11"/>
    <s v="Vet care"/>
  </r>
  <r>
    <x v="0"/>
    <x v="27"/>
    <n v="1328"/>
    <x v="12"/>
    <s v="Laundry &amp; cleaning"/>
  </r>
  <r>
    <x v="0"/>
    <x v="28"/>
    <n v="1308"/>
    <x v="8"/>
    <s v="Sweets"/>
  </r>
  <r>
    <x v="0"/>
    <x v="29"/>
    <n v="13414"/>
    <x v="1"/>
    <s v="Supplies"/>
  </r>
  <r>
    <x v="0"/>
    <x v="30"/>
    <n v="750"/>
    <x v="3"/>
    <s v="Phones"/>
  </r>
  <r>
    <x v="0"/>
    <x v="31"/>
    <n v="4927"/>
    <x v="7"/>
    <s v="Birthday"/>
  </r>
  <r>
    <x v="0"/>
    <x v="32"/>
    <n v="10000"/>
    <x v="9"/>
    <m/>
  </r>
  <r>
    <x v="0"/>
    <x v="33"/>
    <n v="23000"/>
    <x v="3"/>
    <s v="Mortage"/>
  </r>
  <r>
    <x v="1"/>
    <x v="34"/>
    <n v="45000"/>
    <x v="5"/>
    <s v="Person1"/>
  </r>
  <r>
    <x v="1"/>
    <x v="34"/>
    <n v="45000"/>
    <x v="5"/>
    <s v="Person2"/>
  </r>
  <r>
    <x v="1"/>
    <x v="35"/>
    <n v="3300"/>
    <x v="5"/>
    <s v="Vouchers"/>
  </r>
  <r>
    <x v="0"/>
    <x v="36"/>
    <n v="1083"/>
    <x v="12"/>
    <s v="Laundry &amp; cleaning"/>
  </r>
  <r>
    <x v="0"/>
    <x v="37"/>
    <n v="736"/>
    <x v="8"/>
    <s v="Sweets"/>
  </r>
  <r>
    <x v="0"/>
    <x v="38"/>
    <n v="9581"/>
    <x v="1"/>
    <s v="Supplies"/>
  </r>
  <r>
    <x v="0"/>
    <x v="39"/>
    <n v="14715"/>
    <x v="13"/>
    <s v="Other"/>
  </r>
  <r>
    <x v="0"/>
    <x v="40"/>
    <n v="1059"/>
    <x v="3"/>
    <s v="Phones"/>
  </r>
  <r>
    <x v="0"/>
    <x v="41"/>
    <n v="2161"/>
    <x v="7"/>
    <s v="Birthday"/>
  </r>
  <r>
    <x v="0"/>
    <x v="42"/>
    <n v="10000"/>
    <x v="9"/>
    <m/>
  </r>
  <r>
    <x v="0"/>
    <x v="43"/>
    <n v="23000"/>
    <x v="3"/>
    <s v="Mortage"/>
  </r>
  <r>
    <x v="1"/>
    <x v="44"/>
    <n v="45000"/>
    <x v="5"/>
    <s v="Person1"/>
  </r>
  <r>
    <x v="1"/>
    <x v="44"/>
    <n v="45000"/>
    <x v="5"/>
    <s v="Person2"/>
  </r>
  <r>
    <x v="1"/>
    <x v="45"/>
    <n v="3300"/>
    <x v="5"/>
    <s v="Vouchers"/>
  </r>
  <r>
    <x v="0"/>
    <x v="46"/>
    <n v="3159"/>
    <x v="11"/>
    <s v="Food"/>
  </r>
  <r>
    <x v="0"/>
    <x v="47"/>
    <n v="877"/>
    <x v="10"/>
    <s v="Medications"/>
  </r>
  <r>
    <x v="0"/>
    <x v="48"/>
    <n v="1311"/>
    <x v="12"/>
    <s v="Laundry &amp; cleaning"/>
  </r>
  <r>
    <x v="0"/>
    <x v="49"/>
    <n v="204"/>
    <x v="8"/>
    <s v="Sweets"/>
  </r>
  <r>
    <x v="0"/>
    <x v="50"/>
    <n v="9376"/>
    <x v="1"/>
    <s v="Supplies"/>
  </r>
</pivotCacheRecords>
</file>

<file path=xl/pivotCache/pivotCacheRecords2.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76">
  <r>
    <x v="0"/>
    <x v="0"/>
    <n v="2000"/>
    <x v="0"/>
    <s v="Maintenance"/>
  </r>
  <r>
    <x v="0"/>
    <x v="1"/>
    <n v="11170"/>
    <x v="1"/>
    <s v="Supplies"/>
  </r>
  <r>
    <x v="0"/>
    <x v="2"/>
    <n v="520"/>
    <x v="2"/>
    <s v="Books"/>
  </r>
  <r>
    <x v="0"/>
    <x v="3"/>
    <n v="500"/>
    <x v="3"/>
    <s v="Phones"/>
  </r>
  <r>
    <x v="0"/>
    <x v="3"/>
    <n v="23000"/>
    <x v="3"/>
    <s v="Mortage"/>
  </r>
  <r>
    <x v="0"/>
    <x v="4"/>
    <n v="795"/>
    <x v="4"/>
    <s v="Hair care"/>
  </r>
  <r>
    <x v="0"/>
    <x v="4"/>
    <n v="1128"/>
    <x v="4"/>
    <s v="Cosmetics"/>
  </r>
  <r>
    <x v="1"/>
    <x v="4"/>
    <n v="60000"/>
    <x v="5"/>
    <s v="Person1"/>
  </r>
  <r>
    <x v="1"/>
    <x v="4"/>
    <n v="40000"/>
    <x v="5"/>
    <s v="Person2"/>
  </r>
  <r>
    <x v="1"/>
    <x v="5"/>
    <n v="3000"/>
    <x v="5"/>
    <s v="Vouchers"/>
  </r>
  <r>
    <x v="0"/>
    <x v="6"/>
    <n v="2700"/>
    <x v="6"/>
    <s v="Shoes"/>
  </r>
  <r>
    <x v="0"/>
    <x v="6"/>
    <n v="110"/>
    <x v="7"/>
    <s v="Birthday"/>
  </r>
  <r>
    <x v="0"/>
    <x v="6"/>
    <n v="780"/>
    <x v="7"/>
    <s v="Visit"/>
  </r>
  <r>
    <x v="0"/>
    <x v="6"/>
    <n v="830"/>
    <x v="1"/>
    <s v="Supplies"/>
  </r>
  <r>
    <x v="0"/>
    <x v="6"/>
    <n v="337"/>
    <x v="7"/>
    <s v="Visit"/>
  </r>
  <r>
    <x v="0"/>
    <x v="7"/>
    <n v="70"/>
    <x v="2"/>
    <s v="Sports"/>
  </r>
  <r>
    <x v="0"/>
    <x v="7"/>
    <n v="418"/>
    <x v="4"/>
    <s v="Hygiene"/>
  </r>
  <r>
    <x v="0"/>
    <x v="7"/>
    <n v="2000"/>
    <x v="1"/>
    <s v="Supplies"/>
  </r>
  <r>
    <x v="0"/>
    <x v="8"/>
    <n v="290"/>
    <x v="2"/>
    <s v="Sports"/>
  </r>
  <r>
    <x v="0"/>
    <x v="8"/>
    <n v="840"/>
    <x v="8"/>
    <s v="Sweets"/>
  </r>
  <r>
    <x v="0"/>
    <x v="9"/>
    <n v="2000"/>
    <x v="0"/>
    <s v="Maintenance"/>
  </r>
  <r>
    <x v="0"/>
    <x v="10"/>
    <n v="11170"/>
    <x v="1"/>
    <s v="Supplies"/>
  </r>
  <r>
    <x v="0"/>
    <x v="11"/>
    <n v="520"/>
    <x v="2"/>
    <s v="Books"/>
  </r>
  <r>
    <x v="0"/>
    <x v="12"/>
    <n v="500"/>
    <x v="3"/>
    <s v="Phones"/>
  </r>
  <r>
    <x v="0"/>
    <x v="12"/>
    <n v="23000"/>
    <x v="3"/>
    <s v="Mortage"/>
  </r>
  <r>
    <x v="0"/>
    <x v="13"/>
    <n v="795"/>
    <x v="4"/>
    <s v="Hair care"/>
  </r>
  <r>
    <x v="0"/>
    <x v="13"/>
    <n v="1128"/>
    <x v="4"/>
    <s v="Cosmetics"/>
  </r>
  <r>
    <x v="1"/>
    <x v="13"/>
    <n v="60000"/>
    <x v="5"/>
    <s v="Person1"/>
  </r>
  <r>
    <x v="1"/>
    <x v="13"/>
    <n v="40000"/>
    <x v="5"/>
    <s v="Person2"/>
  </r>
  <r>
    <x v="1"/>
    <x v="14"/>
    <n v="3000"/>
    <x v="5"/>
    <s v="Vouchers"/>
  </r>
  <r>
    <x v="0"/>
    <x v="15"/>
    <n v="2700"/>
    <x v="6"/>
    <s v="Shoes"/>
  </r>
  <r>
    <x v="0"/>
    <x v="15"/>
    <n v="110"/>
    <x v="7"/>
    <s v="Birthday"/>
  </r>
  <r>
    <x v="0"/>
    <x v="15"/>
    <n v="780"/>
    <x v="7"/>
    <s v="Visit"/>
  </r>
  <r>
    <x v="0"/>
    <x v="15"/>
    <n v="830"/>
    <x v="1"/>
    <s v="Supplies"/>
  </r>
  <r>
    <x v="0"/>
    <x v="15"/>
    <n v="337"/>
    <x v="7"/>
    <s v="Visit"/>
  </r>
  <r>
    <x v="0"/>
    <x v="16"/>
    <n v="70"/>
    <x v="2"/>
    <s v="Sports"/>
  </r>
  <r>
    <x v="0"/>
    <x v="16"/>
    <n v="418"/>
    <x v="4"/>
    <s v="Hygiene"/>
  </r>
  <r>
    <x v="0"/>
    <x v="16"/>
    <n v="2000"/>
    <x v="1"/>
    <s v="Supplies"/>
  </r>
  <r>
    <x v="0"/>
    <x v="17"/>
    <n v="290"/>
    <x v="2"/>
    <s v="Sports"/>
  </r>
  <r>
    <x v="0"/>
    <x v="17"/>
    <n v="840"/>
    <x v="8"/>
    <s v="Sweets"/>
  </r>
  <r>
    <x v="0"/>
    <x v="18"/>
    <n v="700"/>
    <x v="2"/>
    <s v="Sports"/>
  </r>
  <r>
    <x v="0"/>
    <x v="19"/>
    <n v="679"/>
    <x v="3"/>
    <s v="Phones"/>
  </r>
  <r>
    <x v="0"/>
    <x v="20"/>
    <n v="647"/>
    <x v="7"/>
    <s v="Birthday"/>
  </r>
  <r>
    <x v="0"/>
    <x v="21"/>
    <n v="10000"/>
    <x v="9"/>
    <m/>
  </r>
  <r>
    <x v="0"/>
    <x v="22"/>
    <n v="23000"/>
    <x v="3"/>
    <s v="Mortage"/>
  </r>
  <r>
    <x v="1"/>
    <x v="23"/>
    <n v="65000"/>
    <x v="5"/>
    <s v="Person1"/>
  </r>
  <r>
    <x v="1"/>
    <x v="23"/>
    <n v="41000"/>
    <x v="5"/>
    <s v="Person2"/>
  </r>
  <r>
    <x v="1"/>
    <x v="24"/>
    <n v="3000"/>
    <x v="5"/>
    <s v="Vouchers"/>
  </r>
  <r>
    <x v="0"/>
    <x v="25"/>
    <n v="986"/>
    <x v="10"/>
    <s v="Medications"/>
  </r>
  <r>
    <x v="0"/>
    <x v="26"/>
    <n v="2000"/>
    <x v="11"/>
    <s v="Vet care"/>
  </r>
  <r>
    <x v="0"/>
    <x v="27"/>
    <n v="1328"/>
    <x v="12"/>
    <s v="Laundry &amp; cleaning"/>
  </r>
  <r>
    <x v="0"/>
    <x v="28"/>
    <n v="1308"/>
    <x v="8"/>
    <s v="Sweets"/>
  </r>
  <r>
    <x v="0"/>
    <x v="29"/>
    <n v="13414"/>
    <x v="1"/>
    <s v="Supplies"/>
  </r>
  <r>
    <x v="0"/>
    <x v="30"/>
    <n v="750"/>
    <x v="3"/>
    <s v="Phones"/>
  </r>
  <r>
    <x v="0"/>
    <x v="31"/>
    <n v="4927"/>
    <x v="7"/>
    <s v="Birthday"/>
  </r>
  <r>
    <x v="0"/>
    <x v="32"/>
    <n v="10000"/>
    <x v="9"/>
    <m/>
  </r>
  <r>
    <x v="0"/>
    <x v="33"/>
    <n v="23000"/>
    <x v="3"/>
    <s v="Mortage"/>
  </r>
  <r>
    <x v="1"/>
    <x v="34"/>
    <n v="45000"/>
    <x v="5"/>
    <s v="Person1"/>
  </r>
  <r>
    <x v="1"/>
    <x v="34"/>
    <n v="45000"/>
    <x v="5"/>
    <s v="Person2"/>
  </r>
  <r>
    <x v="1"/>
    <x v="35"/>
    <n v="3300"/>
    <x v="5"/>
    <s v="Vouchers"/>
  </r>
  <r>
    <x v="0"/>
    <x v="36"/>
    <n v="1083"/>
    <x v="12"/>
    <s v="Laundry &amp; cleaning"/>
  </r>
  <r>
    <x v="0"/>
    <x v="37"/>
    <n v="736"/>
    <x v="8"/>
    <s v="Sweets"/>
  </r>
  <r>
    <x v="0"/>
    <x v="38"/>
    <n v="9581"/>
    <x v="1"/>
    <s v="Supplies"/>
  </r>
  <r>
    <x v="0"/>
    <x v="39"/>
    <n v="14715"/>
    <x v="13"/>
    <s v="Other"/>
  </r>
  <r>
    <x v="0"/>
    <x v="40"/>
    <n v="1059"/>
    <x v="3"/>
    <s v="Phones"/>
  </r>
  <r>
    <x v="0"/>
    <x v="41"/>
    <n v="2161"/>
    <x v="7"/>
    <s v="Birthday"/>
  </r>
  <r>
    <x v="0"/>
    <x v="42"/>
    <n v="10000"/>
    <x v="9"/>
    <m/>
  </r>
  <r>
    <x v="0"/>
    <x v="43"/>
    <n v="23000"/>
    <x v="3"/>
    <s v="Mortage"/>
  </r>
  <r>
    <x v="1"/>
    <x v="44"/>
    <n v="45000"/>
    <x v="5"/>
    <s v="Person1"/>
  </r>
  <r>
    <x v="1"/>
    <x v="44"/>
    <n v="45000"/>
    <x v="5"/>
    <s v="Person2"/>
  </r>
  <r>
    <x v="1"/>
    <x v="45"/>
    <n v="3300"/>
    <x v="5"/>
    <s v="Vouchers"/>
  </r>
  <r>
    <x v="0"/>
    <x v="46"/>
    <n v="3159"/>
    <x v="11"/>
    <s v="Food"/>
  </r>
  <r>
    <x v="0"/>
    <x v="47"/>
    <n v="877"/>
    <x v="10"/>
    <s v="Medications"/>
  </r>
  <r>
    <x v="0"/>
    <x v="48"/>
    <n v="1311"/>
    <x v="12"/>
    <s v="Laundry &amp; cleaning"/>
  </r>
  <r>
    <x v="0"/>
    <x v="49"/>
    <n v="204"/>
    <x v="8"/>
    <s v="Sweets"/>
  </r>
  <r>
    <x v="0"/>
    <x v="50"/>
    <n v="9376"/>
    <x v="1"/>
    <s v="Supplies"/>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0E41AB9E-3FF8-4032-86A1-CBDD5D89B9AE}" name="Total in vs out" cacheId="1"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66">
  <location ref="A3:B6" firstHeaderRow="1" firstDataRow="1" firstDataCol="1"/>
  <pivotFields count="8">
    <pivotField axis="axisRow" showAll="0">
      <items count="4">
        <item x="0"/>
        <item x="1"/>
        <item h="1" m="1" x="2"/>
        <item t="default"/>
      </items>
    </pivotField>
    <pivotField showAll="0">
      <items count="128">
        <item x="50"/>
        <item x="49"/>
        <item x="48"/>
        <item x="47"/>
        <item x="46"/>
        <item m="1" x="126"/>
        <item x="45"/>
        <item x="44"/>
        <item m="1" x="125"/>
        <item x="43"/>
        <item x="42"/>
        <item x="41"/>
        <item x="40"/>
        <item m="1" x="69"/>
        <item x="39"/>
        <item m="1" x="124"/>
        <item m="1" x="123"/>
        <item m="1" x="122"/>
        <item m="1" x="121"/>
        <item m="1" x="120"/>
        <item x="38"/>
        <item m="1" x="119"/>
        <item m="1" x="118"/>
        <item x="37"/>
        <item m="1" x="117"/>
        <item x="36"/>
        <item m="1" x="116"/>
        <item m="1" x="115"/>
        <item m="1" x="68"/>
        <item m="1" x="114"/>
        <item m="1" x="113"/>
        <item m="1" x="112"/>
        <item x="35"/>
        <item x="34"/>
        <item m="1" x="111"/>
        <item x="33"/>
        <item x="32"/>
        <item m="1" x="110"/>
        <item x="31"/>
        <item x="30"/>
        <item m="1" x="67"/>
        <item m="1" x="63"/>
        <item m="1" x="109"/>
        <item m="1" x="108"/>
        <item m="1" x="107"/>
        <item m="1" x="106"/>
        <item m="1" x="105"/>
        <item m="1" x="104"/>
        <item m="1" x="103"/>
        <item m="1" x="102"/>
        <item m="1" x="101"/>
        <item x="28"/>
        <item m="1" x="100"/>
        <item m="1" x="99"/>
        <item x="26"/>
        <item m="1" x="98"/>
        <item x="25"/>
        <item m="1" x="97"/>
        <item x="24"/>
        <item x="23"/>
        <item m="1" x="96"/>
        <item x="22"/>
        <item m="1" x="66"/>
        <item x="18"/>
        <item m="1" x="65"/>
        <item x="17"/>
        <item m="1" x="64"/>
        <item x="16"/>
        <item x="15"/>
        <item x="13"/>
        <item m="1" x="58"/>
        <item x="9"/>
        <item x="7"/>
        <item m="1" x="95"/>
        <item x="4"/>
        <item m="1" x="94"/>
        <item m="1" x="93"/>
        <item m="1" x="92"/>
        <item m="1" x="91"/>
        <item m="1" x="90"/>
        <item m="1" x="89"/>
        <item m="1" x="88"/>
        <item m="1" x="87"/>
        <item m="1" x="86"/>
        <item m="1" x="85"/>
        <item m="1" x="84"/>
        <item m="1" x="83"/>
        <item m="1" x="82"/>
        <item m="1" x="81"/>
        <item m="1" x="80"/>
        <item m="1" x="79"/>
        <item m="1" x="77"/>
        <item m="1" x="78"/>
        <item m="1" x="76"/>
        <item m="1" x="75"/>
        <item m="1" x="74"/>
        <item m="1" x="73"/>
        <item m="1" x="72"/>
        <item m="1" x="71"/>
        <item x="19"/>
        <item x="20"/>
        <item x="21"/>
        <item x="27"/>
        <item x="29"/>
        <item m="1" x="70"/>
        <item x="12"/>
        <item x="11"/>
        <item x="10"/>
        <item m="1" x="54"/>
        <item x="14"/>
        <item m="1" x="62"/>
        <item m="1" x="61"/>
        <item m="1" x="60"/>
        <item m="1" x="57"/>
        <item m="1" x="59"/>
        <item m="1" x="52"/>
        <item m="1" x="55"/>
        <item x="0"/>
        <item x="1"/>
        <item x="2"/>
        <item x="3"/>
        <item x="5"/>
        <item x="6"/>
        <item x="8"/>
        <item m="1" x="56"/>
        <item m="1" x="53"/>
        <item m="1" x="51"/>
        <item t="default"/>
      </items>
    </pivotField>
    <pivotField dataField="1" showAll="0"/>
    <pivotField showAll="0"/>
    <pivotField showAll="0"/>
    <pivotField showAll="0">
      <items count="15">
        <item x="0"/>
        <item x="1"/>
        <item x="2"/>
        <item x="3"/>
        <item x="4"/>
        <item x="5"/>
        <item x="6"/>
        <item x="7"/>
        <item x="8"/>
        <item x="9"/>
        <item x="10"/>
        <item x="11"/>
        <item x="12"/>
        <item x="13"/>
        <item t="default"/>
      </items>
    </pivotField>
    <pivotField showAll="0">
      <items count="7">
        <item x="1"/>
        <item x="2"/>
        <item x="3"/>
        <item x="4"/>
        <item x="0"/>
        <item x="5"/>
        <item t="default"/>
      </items>
    </pivotField>
    <pivotField showAll="0">
      <items count="4">
        <item x="1"/>
        <item x="0"/>
        <item x="2"/>
        <item t="default"/>
      </items>
    </pivotField>
  </pivotFields>
  <rowFields count="1">
    <field x="0"/>
  </rowFields>
  <rowItems count="3">
    <i>
      <x/>
    </i>
    <i>
      <x v="1"/>
    </i>
    <i t="grand">
      <x/>
    </i>
  </rowItems>
  <colItems count="1">
    <i/>
  </colItems>
  <dataFields count="1">
    <dataField name="Sum of AMOUNT" fld="2" baseField="0" baseItem="19" numFmtId="166"/>
  </dataFields>
  <formats count="2">
    <format dxfId="5">
      <pivotArea field="1" type="button" dataOnly="0" labelOnly="1" outline="0"/>
    </format>
    <format dxfId="4">
      <pivotArea outline="0" fieldPosition="0">
        <references count="1">
          <reference field="4294967294" count="1">
            <x v="0"/>
          </reference>
        </references>
      </pivotArea>
    </format>
  </formats>
  <chartFormats count="14">
    <chartFormat chart="39" format="189" series="1">
      <pivotArea type="data" outline="0" fieldPosition="0">
        <references count="2">
          <reference field="4294967294" count="1" selected="0">
            <x v="0"/>
          </reference>
          <reference field="0" count="1" selected="0">
            <x v="0"/>
          </reference>
        </references>
      </pivotArea>
    </chartFormat>
    <chartFormat chart="39" format="190" series="1">
      <pivotArea type="data" outline="0" fieldPosition="0">
        <references count="2">
          <reference field="4294967294" count="1" selected="0">
            <x v="0"/>
          </reference>
          <reference field="0" count="1" selected="0">
            <x v="1"/>
          </reference>
        </references>
      </pivotArea>
    </chartFormat>
    <chartFormat chart="39" format="191" series="1">
      <pivotArea type="data" outline="0" fieldPosition="0">
        <references count="1">
          <reference field="4294967294" count="1" selected="0">
            <x v="0"/>
          </reference>
        </references>
      </pivotArea>
    </chartFormat>
    <chartFormat chart="44" format="0" series="1">
      <pivotArea type="data" outline="0" fieldPosition="0">
        <references count="2">
          <reference field="4294967294" count="1" selected="0">
            <x v="0"/>
          </reference>
          <reference field="0" count="1" selected="0">
            <x v="0"/>
          </reference>
        </references>
      </pivotArea>
    </chartFormat>
    <chartFormat chart="44" format="1" series="1">
      <pivotArea type="data" outline="0" fieldPosition="0">
        <references count="2">
          <reference field="4294967294" count="1" selected="0">
            <x v="0"/>
          </reference>
          <reference field="0" count="1" selected="0">
            <x v="1"/>
          </reference>
        </references>
      </pivotArea>
    </chartFormat>
    <chartFormat chart="44" format="2" series="1">
      <pivotArea type="data" outline="0" fieldPosition="0">
        <references count="1">
          <reference field="4294967294" count="1" selected="0">
            <x v="0"/>
          </reference>
        </references>
      </pivotArea>
    </chartFormat>
    <chartFormat chart="44" format="3">
      <pivotArea type="data" outline="0" fieldPosition="0">
        <references count="2">
          <reference field="4294967294" count="1" selected="0">
            <x v="0"/>
          </reference>
          <reference field="0" count="1" selected="0">
            <x v="0"/>
          </reference>
        </references>
      </pivotArea>
    </chartFormat>
    <chartFormat chart="44" format="4">
      <pivotArea type="data" outline="0" fieldPosition="0">
        <references count="2">
          <reference field="4294967294" count="1" selected="0">
            <x v="0"/>
          </reference>
          <reference field="0" count="1" selected="0">
            <x v="1"/>
          </reference>
        </references>
      </pivotArea>
    </chartFormat>
    <chartFormat chart="47" format="5" series="1">
      <pivotArea type="data" outline="0" fieldPosition="0">
        <references count="1">
          <reference field="4294967294" count="1" selected="0">
            <x v="0"/>
          </reference>
        </references>
      </pivotArea>
    </chartFormat>
    <chartFormat chart="47" format="6">
      <pivotArea type="data" outline="0" fieldPosition="0">
        <references count="2">
          <reference field="4294967294" count="1" selected="0">
            <x v="0"/>
          </reference>
          <reference field="0" count="1" selected="0">
            <x v="0"/>
          </reference>
        </references>
      </pivotArea>
    </chartFormat>
    <chartFormat chart="47" format="7">
      <pivotArea type="data" outline="0" fieldPosition="0">
        <references count="2">
          <reference field="4294967294" count="1" selected="0">
            <x v="0"/>
          </reference>
          <reference field="0" count="1" selected="0">
            <x v="1"/>
          </reference>
        </references>
      </pivotArea>
    </chartFormat>
    <chartFormat chart="50" format="11" series="1">
      <pivotArea type="data" outline="0" fieldPosition="0">
        <references count="1">
          <reference field="4294967294" count="1" selected="0">
            <x v="0"/>
          </reference>
        </references>
      </pivotArea>
    </chartFormat>
    <chartFormat chart="50" format="12">
      <pivotArea type="data" outline="0" fieldPosition="0">
        <references count="2">
          <reference field="4294967294" count="1" selected="0">
            <x v="0"/>
          </reference>
          <reference field="0" count="1" selected="0">
            <x v="0"/>
          </reference>
        </references>
      </pivotArea>
    </chartFormat>
    <chartFormat chart="50" format="13">
      <pivotArea type="data" outline="0" fieldPosition="0">
        <references count="2">
          <reference field="4294967294" count="1" selected="0">
            <x v="0"/>
          </reference>
          <reference field="0" count="1" selected="0">
            <x v="1"/>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2CE3C53B-69E8-4B1C-8730-5B97EA64D5C1}" name="Month in vs out" cacheId="1"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70">
  <location ref="A3:D10" firstHeaderRow="1" firstDataRow="2" firstDataCol="1"/>
  <pivotFields count="8">
    <pivotField axis="axisCol" multipleItemSelectionAllowed="1" showAll="0">
      <items count="4">
        <item x="0"/>
        <item x="1"/>
        <item h="1" m="1" x="2"/>
        <item t="default"/>
      </items>
    </pivotField>
    <pivotField showAll="0">
      <items count="128">
        <item x="50"/>
        <item x="49"/>
        <item x="48"/>
        <item x="47"/>
        <item x="46"/>
        <item m="1" x="126"/>
        <item x="45"/>
        <item x="44"/>
        <item m="1" x="125"/>
        <item x="43"/>
        <item x="42"/>
        <item x="41"/>
        <item x="40"/>
        <item m="1" x="69"/>
        <item x="39"/>
        <item m="1" x="124"/>
        <item m="1" x="123"/>
        <item m="1" x="122"/>
        <item m="1" x="121"/>
        <item m="1" x="120"/>
        <item x="38"/>
        <item m="1" x="119"/>
        <item m="1" x="118"/>
        <item x="37"/>
        <item m="1" x="117"/>
        <item x="36"/>
        <item m="1" x="116"/>
        <item m="1" x="115"/>
        <item m="1" x="68"/>
        <item m="1" x="114"/>
        <item m="1" x="113"/>
        <item m="1" x="112"/>
        <item x="35"/>
        <item x="34"/>
        <item m="1" x="111"/>
        <item x="33"/>
        <item x="32"/>
        <item m="1" x="110"/>
        <item x="31"/>
        <item x="30"/>
        <item m="1" x="67"/>
        <item m="1" x="63"/>
        <item m="1" x="109"/>
        <item m="1" x="108"/>
        <item m="1" x="107"/>
        <item m="1" x="106"/>
        <item m="1" x="105"/>
        <item m="1" x="104"/>
        <item m="1" x="103"/>
        <item m="1" x="102"/>
        <item m="1" x="101"/>
        <item x="28"/>
        <item m="1" x="100"/>
        <item m="1" x="99"/>
        <item x="26"/>
        <item m="1" x="98"/>
        <item x="25"/>
        <item m="1" x="97"/>
        <item x="24"/>
        <item x="23"/>
        <item m="1" x="96"/>
        <item x="22"/>
        <item m="1" x="66"/>
        <item x="18"/>
        <item m="1" x="65"/>
        <item x="17"/>
        <item m="1" x="64"/>
        <item x="16"/>
        <item x="15"/>
        <item x="13"/>
        <item m="1" x="58"/>
        <item x="9"/>
        <item x="7"/>
        <item m="1" x="95"/>
        <item x="4"/>
        <item m="1" x="94"/>
        <item m="1" x="93"/>
        <item m="1" x="92"/>
        <item m="1" x="91"/>
        <item m="1" x="90"/>
        <item m="1" x="89"/>
        <item m="1" x="88"/>
        <item m="1" x="87"/>
        <item m="1" x="86"/>
        <item m="1" x="85"/>
        <item m="1" x="84"/>
        <item m="1" x="83"/>
        <item m="1" x="82"/>
        <item m="1" x="81"/>
        <item m="1" x="80"/>
        <item m="1" x="79"/>
        <item m="1" x="77"/>
        <item m="1" x="78"/>
        <item m="1" x="76"/>
        <item m="1" x="75"/>
        <item m="1" x="74"/>
        <item m="1" x="73"/>
        <item m="1" x="72"/>
        <item m="1" x="71"/>
        <item x="19"/>
        <item x="20"/>
        <item x="21"/>
        <item x="27"/>
        <item x="29"/>
        <item m="1" x="70"/>
        <item x="12"/>
        <item x="11"/>
        <item x="10"/>
        <item m="1" x="54"/>
        <item x="14"/>
        <item m="1" x="62"/>
        <item m="1" x="61"/>
        <item m="1" x="60"/>
        <item m="1" x="57"/>
        <item m="1" x="59"/>
        <item m="1" x="52"/>
        <item m="1" x="55"/>
        <item x="0"/>
        <item x="1"/>
        <item x="2"/>
        <item x="3"/>
        <item x="5"/>
        <item x="6"/>
        <item x="8"/>
        <item m="1" x="56"/>
        <item m="1" x="53"/>
        <item m="1" x="51"/>
        <item t="default"/>
      </items>
    </pivotField>
    <pivotField dataField="1" showAll="0"/>
    <pivotField showAll="0"/>
    <pivotField showAll="0"/>
    <pivotField axis="axisRow" showAll="0">
      <items count="15">
        <item sd="0" x="0"/>
        <item sd="0" x="1"/>
        <item sd="0" x="2"/>
        <item sd="0" x="3"/>
        <item sd="0" x="4"/>
        <item sd="0" x="5"/>
        <item sd="0" x="6"/>
        <item sd="0" x="7"/>
        <item sd="0" x="8"/>
        <item sd="0" x="9"/>
        <item sd="0" x="10"/>
        <item sd="0" x="11"/>
        <item sd="0" x="12"/>
        <item sd="0" x="13"/>
        <item t="default"/>
      </items>
    </pivotField>
    <pivotField showAll="0">
      <items count="7">
        <item sd="0" x="1"/>
        <item sd="0" x="2"/>
        <item sd="0" x="3"/>
        <item sd="0" x="4"/>
        <item x="0"/>
        <item x="5"/>
        <item t="default"/>
      </items>
    </pivotField>
    <pivotField showAll="0">
      <items count="4">
        <item sd="0" x="1"/>
        <item x="0"/>
        <item x="2"/>
        <item t="default"/>
      </items>
    </pivotField>
  </pivotFields>
  <rowFields count="1">
    <field x="5"/>
  </rowFields>
  <rowItems count="6">
    <i>
      <x v="1"/>
    </i>
    <i>
      <x v="2"/>
    </i>
    <i>
      <x v="3"/>
    </i>
    <i>
      <x v="4"/>
    </i>
    <i>
      <x v="5"/>
    </i>
    <i t="grand">
      <x/>
    </i>
  </rowItems>
  <colFields count="1">
    <field x="0"/>
  </colFields>
  <colItems count="3">
    <i>
      <x/>
    </i>
    <i>
      <x v="1"/>
    </i>
    <i t="grand">
      <x/>
    </i>
  </colItems>
  <dataFields count="1">
    <dataField name="Sum of AMOUNT" fld="2" baseField="0" baseItem="19" numFmtId="166"/>
  </dataFields>
  <formats count="2">
    <format dxfId="3">
      <pivotArea field="1" type="button" dataOnly="0" labelOnly="1" outline="0"/>
    </format>
    <format dxfId="2">
      <pivotArea outline="0" fieldPosition="0">
        <references count="1">
          <reference field="4294967294" count="1">
            <x v="0"/>
          </reference>
        </references>
      </pivotArea>
    </format>
  </formats>
  <chartFormats count="13">
    <chartFormat chart="39" format="191" series="1">
      <pivotArea type="data" outline="0" fieldPosition="0">
        <references count="1">
          <reference field="4294967294" count="1" selected="0">
            <x v="0"/>
          </reference>
        </references>
      </pivotArea>
    </chartFormat>
    <chartFormat chart="47" format="5" series="1">
      <pivotArea type="data" outline="0" fieldPosition="0">
        <references count="1">
          <reference field="4294967294" count="1" selected="0">
            <x v="0"/>
          </reference>
        </references>
      </pivotArea>
    </chartFormat>
    <chartFormat chart="39" format="209" series="1">
      <pivotArea type="data" outline="0" fieldPosition="0">
        <references count="2">
          <reference field="4294967294" count="1" selected="0">
            <x v="0"/>
          </reference>
          <reference field="0" count="1" selected="0">
            <x v="0"/>
          </reference>
        </references>
      </pivotArea>
    </chartFormat>
    <chartFormat chart="39" format="210" series="1">
      <pivotArea type="data" outline="0" fieldPosition="0">
        <references count="2">
          <reference field="4294967294" count="1" selected="0">
            <x v="0"/>
          </reference>
          <reference field="0" count="1" selected="0">
            <x v="1"/>
          </reference>
        </references>
      </pivotArea>
    </chartFormat>
    <chartFormat chart="39" format="215">
      <pivotArea type="data" outline="0" fieldPosition="0">
        <references count="3">
          <reference field="4294967294" count="1" selected="0">
            <x v="0"/>
          </reference>
          <reference field="0" count="1" selected="0">
            <x v="0"/>
          </reference>
          <reference field="5" count="1" selected="0">
            <x v="4"/>
          </reference>
        </references>
      </pivotArea>
    </chartFormat>
    <chartFormat chart="39" format="216">
      <pivotArea type="data" outline="0" fieldPosition="0">
        <references count="3">
          <reference field="4294967294" count="1" selected="0">
            <x v="0"/>
          </reference>
          <reference field="0" count="1" selected="0">
            <x v="0"/>
          </reference>
          <reference field="5" count="1" selected="0">
            <x v="3"/>
          </reference>
        </references>
      </pivotArea>
    </chartFormat>
    <chartFormat chart="39" format="217">
      <pivotArea type="data" outline="0" fieldPosition="0">
        <references count="3">
          <reference field="4294967294" count="1" selected="0">
            <x v="0"/>
          </reference>
          <reference field="0" count="1" selected="0">
            <x v="0"/>
          </reference>
          <reference field="5" count="1" selected="0">
            <x v="2"/>
          </reference>
        </references>
      </pivotArea>
    </chartFormat>
    <chartFormat chart="39" format="218">
      <pivotArea type="data" outline="0" fieldPosition="0">
        <references count="3">
          <reference field="4294967294" count="1" selected="0">
            <x v="0"/>
          </reference>
          <reference field="0" count="1" selected="0">
            <x v="0"/>
          </reference>
          <reference field="5" count="1" selected="0">
            <x v="1"/>
          </reference>
        </references>
      </pivotArea>
    </chartFormat>
    <chartFormat chart="39" format="219">
      <pivotArea type="data" outline="0" fieldPosition="0">
        <references count="3">
          <reference field="4294967294" count="1" selected="0">
            <x v="0"/>
          </reference>
          <reference field="0" count="1" selected="0">
            <x v="1"/>
          </reference>
          <reference field="5" count="1" selected="0">
            <x v="2"/>
          </reference>
        </references>
      </pivotArea>
    </chartFormat>
    <chartFormat chart="39" format="220">
      <pivotArea type="data" outline="0" fieldPosition="0">
        <references count="3">
          <reference field="4294967294" count="1" selected="0">
            <x v="0"/>
          </reference>
          <reference field="0" count="1" selected="0">
            <x v="1"/>
          </reference>
          <reference field="5" count="1" selected="0">
            <x v="3"/>
          </reference>
        </references>
      </pivotArea>
    </chartFormat>
    <chartFormat chart="39" format="221">
      <pivotArea type="data" outline="0" fieldPosition="0">
        <references count="3">
          <reference field="4294967294" count="1" selected="0">
            <x v="0"/>
          </reference>
          <reference field="0" count="1" selected="0">
            <x v="1"/>
          </reference>
          <reference field="5" count="1" selected="0">
            <x v="4"/>
          </reference>
        </references>
      </pivotArea>
    </chartFormat>
    <chartFormat chart="39" format="222">
      <pivotArea type="data" outline="0" fieldPosition="0">
        <references count="3">
          <reference field="4294967294" count="1" selected="0">
            <x v="0"/>
          </reference>
          <reference field="0" count="1" selected="0">
            <x v="1"/>
          </reference>
          <reference field="5" count="1" selected="0">
            <x v="1"/>
          </reference>
        </references>
      </pivotArea>
    </chartFormat>
    <chartFormat chart="39" format="223">
      <pivotArea type="data" outline="0" fieldPosition="0">
        <references count="3">
          <reference field="4294967294" count="1" selected="0">
            <x v="0"/>
          </reference>
          <reference field="0" count="1" selected="0">
            <x v="0"/>
          </reference>
          <reference field="5" count="1" selected="0">
            <x v="6"/>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091B2FE9-F23A-4911-B272-B02BB7E58AD3}" name="Category" cacheId="0"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48">
  <location ref="A4:C11" firstHeaderRow="1" firstDataRow="2" firstDataCol="1" rowPageCount="1" colPageCount="1"/>
  <pivotFields count="8">
    <pivotField axis="axisPage" showAll="0">
      <items count="4">
        <item x="0"/>
        <item x="1"/>
        <item m="1" x="2"/>
        <item t="default"/>
      </items>
    </pivotField>
    <pivotField numFmtId="14" showAll="0">
      <items count="71">
        <item m="1" x="54"/>
        <item x="50"/>
        <item x="49"/>
        <item x="48"/>
        <item x="47"/>
        <item x="46"/>
        <item x="45"/>
        <item x="44"/>
        <item x="43"/>
        <item x="42"/>
        <item x="41"/>
        <item x="40"/>
        <item m="1" x="69"/>
        <item x="39"/>
        <item x="38"/>
        <item x="37"/>
        <item x="36"/>
        <item m="1" x="68"/>
        <item x="35"/>
        <item x="34"/>
        <item x="33"/>
        <item x="32"/>
        <item x="31"/>
        <item x="30"/>
        <item m="1" x="67"/>
        <item m="1" x="63"/>
        <item x="29"/>
        <item x="28"/>
        <item x="27"/>
        <item x="26"/>
        <item x="25"/>
        <item x="24"/>
        <item x="23"/>
        <item x="22"/>
        <item x="21"/>
        <item x="20"/>
        <item x="19"/>
        <item m="1" x="66"/>
        <item x="18"/>
        <item m="1" x="65"/>
        <item x="17"/>
        <item m="1" x="64"/>
        <item x="16"/>
        <item x="15"/>
        <item x="13"/>
        <item x="12"/>
        <item x="11"/>
        <item x="10"/>
        <item x="9"/>
        <item x="14"/>
        <item m="1" x="62"/>
        <item m="1" x="61"/>
        <item m="1" x="60"/>
        <item m="1" x="57"/>
        <item m="1" x="59"/>
        <item m="1" x="58"/>
        <item m="1" x="52"/>
        <item m="1" x="55"/>
        <item x="0"/>
        <item x="1"/>
        <item x="2"/>
        <item x="3"/>
        <item x="4"/>
        <item x="5"/>
        <item x="6"/>
        <item x="7"/>
        <item x="8"/>
        <item m="1" x="56"/>
        <item m="1" x="53"/>
        <item m="1" x="51"/>
        <item t="default"/>
      </items>
    </pivotField>
    <pivotField dataField="1" showAll="0"/>
    <pivotField axis="axisCol" showAll="0">
      <items count="16">
        <item h="1" x="4"/>
        <item h="1" x="6"/>
        <item x="1"/>
        <item h="1" x="10"/>
        <item h="1" x="12"/>
        <item h="1" x="5"/>
        <item h="1" x="3"/>
        <item h="1" x="8"/>
        <item h="1" x="7"/>
        <item h="1" x="13"/>
        <item h="1" x="9"/>
        <item h="1" x="2"/>
        <item h="1" m="1" x="14"/>
        <item h="1" x="11"/>
        <item h="1" x="0"/>
        <item t="default"/>
      </items>
    </pivotField>
    <pivotField showAll="0"/>
    <pivotField axis="axisRow" showAll="0">
      <items count="15">
        <item sd="0" x="0"/>
        <item sd="0" x="1"/>
        <item sd="0" x="2"/>
        <item sd="0" x="3"/>
        <item sd="0" x="4"/>
        <item sd="0" x="5"/>
        <item sd="0" x="6"/>
        <item sd="0" x="7"/>
        <item sd="0" x="8"/>
        <item sd="0" x="9"/>
        <item sd="0" x="10"/>
        <item sd="0" x="11"/>
        <item sd="0" x="12"/>
        <item sd="0" x="13"/>
        <item t="default"/>
      </items>
    </pivotField>
    <pivotField showAll="0">
      <items count="7">
        <item sd="0" x="1"/>
        <item sd="0" x="2"/>
        <item sd="0" x="3"/>
        <item sd="0" x="4"/>
        <item x="0"/>
        <item x="5"/>
        <item t="default"/>
      </items>
    </pivotField>
    <pivotField showAll="0">
      <items count="4">
        <item sd="0" x="1"/>
        <item x="0"/>
        <item x="2"/>
        <item t="default"/>
      </items>
    </pivotField>
  </pivotFields>
  <rowFields count="1">
    <field x="5"/>
  </rowFields>
  <rowItems count="6">
    <i>
      <x v="1"/>
    </i>
    <i>
      <x v="2"/>
    </i>
    <i>
      <x v="3"/>
    </i>
    <i>
      <x v="4"/>
    </i>
    <i>
      <x v="5"/>
    </i>
    <i t="grand">
      <x/>
    </i>
  </rowItems>
  <colFields count="1">
    <field x="3"/>
  </colFields>
  <colItems count="2">
    <i>
      <x v="2"/>
    </i>
    <i t="grand">
      <x/>
    </i>
  </colItems>
  <pageFields count="1">
    <pageField fld="0" item="0" hier="-1"/>
  </pageFields>
  <dataFields count="1">
    <dataField name="Sum of AMOUNT" fld="2" baseField="0" baseItem="720899" numFmtId="166"/>
  </dataFields>
  <chartFormats count="37">
    <chartFormat chart="0" format="13" series="1">
      <pivotArea type="data" outline="0" fieldPosition="0">
        <references count="1">
          <reference field="3" count="1" selected="0">
            <x v="2"/>
          </reference>
        </references>
      </pivotArea>
    </chartFormat>
    <chartFormat chart="0" format="17" series="1">
      <pivotArea type="data" outline="0" fieldPosition="0">
        <references count="2">
          <reference field="4294967294" count="1" selected="0">
            <x v="0"/>
          </reference>
          <reference field="3" count="1" selected="0">
            <x v="8"/>
          </reference>
        </references>
      </pivotArea>
    </chartFormat>
    <chartFormat chart="0" format="19" series="1">
      <pivotArea type="data" outline="0" fieldPosition="0">
        <references count="2">
          <reference field="4294967294" count="1" selected="0">
            <x v="0"/>
          </reference>
          <reference field="3" count="1" selected="0">
            <x v="4"/>
          </reference>
        </references>
      </pivotArea>
    </chartFormat>
    <chartFormat chart="0" format="21" series="1">
      <pivotArea type="data" outline="0" fieldPosition="0">
        <references count="2">
          <reference field="4294967294" count="1" selected="0">
            <x v="0"/>
          </reference>
          <reference field="3" count="1" selected="0">
            <x v="9"/>
          </reference>
        </references>
      </pivotArea>
    </chartFormat>
    <chartFormat chart="0" format="23" series="1">
      <pivotArea type="data" outline="0" fieldPosition="0">
        <references count="2">
          <reference field="4294967294" count="1" selected="0">
            <x v="0"/>
          </reference>
          <reference field="3" count="1" selected="0">
            <x v="0"/>
          </reference>
        </references>
      </pivotArea>
    </chartFormat>
    <chartFormat chart="0" format="25" series="1">
      <pivotArea type="data" outline="0" fieldPosition="0">
        <references count="2">
          <reference field="4294967294" count="1" selected="0">
            <x v="0"/>
          </reference>
          <reference field="3" count="1" selected="0">
            <x v="1"/>
          </reference>
        </references>
      </pivotArea>
    </chartFormat>
    <chartFormat chart="0" format="27" series="1">
      <pivotArea type="data" outline="0" fieldPosition="0">
        <references count="2">
          <reference field="4294967294" count="1" selected="0">
            <x v="0"/>
          </reference>
          <reference field="3" count="1" selected="0">
            <x v="2"/>
          </reference>
        </references>
      </pivotArea>
    </chartFormat>
    <chartFormat chart="0" format="28" series="1">
      <pivotArea type="data" outline="0" fieldPosition="0">
        <references count="2">
          <reference field="4294967294" count="1" selected="0">
            <x v="0"/>
          </reference>
          <reference field="3" count="1" selected="0">
            <x v="3"/>
          </reference>
        </references>
      </pivotArea>
    </chartFormat>
    <chartFormat chart="0" format="30" series="1">
      <pivotArea type="data" outline="0" fieldPosition="0">
        <references count="2">
          <reference field="4294967294" count="1" selected="0">
            <x v="0"/>
          </reference>
          <reference field="3" count="1" selected="0">
            <x v="6"/>
          </reference>
        </references>
      </pivotArea>
    </chartFormat>
    <chartFormat chart="0" format="32" series="1">
      <pivotArea type="data" outline="0" fieldPosition="0">
        <references count="2">
          <reference field="4294967294" count="1" selected="0">
            <x v="0"/>
          </reference>
          <reference field="3" count="1" selected="0">
            <x v="7"/>
          </reference>
        </references>
      </pivotArea>
    </chartFormat>
    <chartFormat chart="0" format="36" series="1">
      <pivotArea type="data" outline="0" fieldPosition="0">
        <references count="2">
          <reference field="4294967294" count="1" selected="0">
            <x v="0"/>
          </reference>
          <reference field="3" count="1" selected="0">
            <x v="10"/>
          </reference>
        </references>
      </pivotArea>
    </chartFormat>
    <chartFormat chart="0" format="38" series="1">
      <pivotArea type="data" outline="0" fieldPosition="0">
        <references count="2">
          <reference field="4294967294" count="1" selected="0">
            <x v="0"/>
          </reference>
          <reference field="3" count="1" selected="0">
            <x v="11"/>
          </reference>
        </references>
      </pivotArea>
    </chartFormat>
    <chartFormat chart="33" format="40" series="1">
      <pivotArea type="data" outline="0" fieldPosition="0">
        <references count="2">
          <reference field="4294967294" count="1" selected="0">
            <x v="0"/>
          </reference>
          <reference field="3" count="1" selected="0">
            <x v="2"/>
          </reference>
        </references>
      </pivotArea>
    </chartFormat>
    <chartFormat chart="34" format="41" series="1">
      <pivotArea type="data" outline="0" fieldPosition="0">
        <references count="2">
          <reference field="4294967294" count="1" selected="0">
            <x v="0"/>
          </reference>
          <reference field="3" count="1" selected="0">
            <x v="2"/>
          </reference>
        </references>
      </pivotArea>
    </chartFormat>
    <chartFormat chart="9" format="42" series="1">
      <pivotArea type="data" outline="0" fieldPosition="0">
        <references count="2">
          <reference field="4294967294" count="1" selected="0">
            <x v="0"/>
          </reference>
          <reference field="3" count="1" selected="0">
            <x v="2"/>
          </reference>
        </references>
      </pivotArea>
    </chartFormat>
    <chartFormat chart="34" format="42" series="1">
      <pivotArea type="data" outline="0" fieldPosition="0">
        <references count="2">
          <reference field="4294967294" count="1" selected="0">
            <x v="0"/>
          </reference>
          <reference field="3" count="1" selected="0">
            <x v="0"/>
          </reference>
        </references>
      </pivotArea>
    </chartFormat>
    <chartFormat chart="33" format="41" series="1">
      <pivotArea type="data" outline="0" fieldPosition="0">
        <references count="2">
          <reference field="4294967294" count="1" selected="0">
            <x v="0"/>
          </reference>
          <reference field="3" count="1" selected="0">
            <x v="0"/>
          </reference>
        </references>
      </pivotArea>
    </chartFormat>
    <chartFormat chart="9" format="43" series="1">
      <pivotArea type="data" outline="0" fieldPosition="0">
        <references count="2">
          <reference field="4294967294" count="1" selected="0">
            <x v="0"/>
          </reference>
          <reference field="3" count="1" selected="0">
            <x v="0"/>
          </reference>
        </references>
      </pivotArea>
    </chartFormat>
    <chartFormat chart="34" format="44" series="1">
      <pivotArea type="data" outline="0" fieldPosition="0">
        <references count="2">
          <reference field="4294967294" count="1" selected="0">
            <x v="0"/>
          </reference>
          <reference field="3" count="1" selected="0">
            <x v="1"/>
          </reference>
        </references>
      </pivotArea>
    </chartFormat>
    <chartFormat chart="33" format="43" series="1">
      <pivotArea type="data" outline="0" fieldPosition="0">
        <references count="2">
          <reference field="4294967294" count="1" selected="0">
            <x v="0"/>
          </reference>
          <reference field="3" count="1" selected="0">
            <x v="1"/>
          </reference>
        </references>
      </pivotArea>
    </chartFormat>
    <chartFormat chart="9" format="45" series="1">
      <pivotArea type="data" outline="0" fieldPosition="0">
        <references count="2">
          <reference field="4294967294" count="1" selected="0">
            <x v="0"/>
          </reference>
          <reference field="3" count="1" selected="0">
            <x v="1"/>
          </reference>
        </references>
      </pivotArea>
    </chartFormat>
    <chartFormat chart="34" format="45" series="1">
      <pivotArea type="data" outline="0" fieldPosition="0">
        <references count="2">
          <reference field="4294967294" count="1" selected="0">
            <x v="0"/>
          </reference>
          <reference field="3" count="1" selected="0">
            <x v="8"/>
          </reference>
        </references>
      </pivotArea>
    </chartFormat>
    <chartFormat chart="33" format="44" series="1">
      <pivotArea type="data" outline="0" fieldPosition="0">
        <references count="2">
          <reference field="4294967294" count="1" selected="0">
            <x v="0"/>
          </reference>
          <reference field="3" count="1" selected="0">
            <x v="8"/>
          </reference>
        </references>
      </pivotArea>
    </chartFormat>
    <chartFormat chart="9" format="46" series="1">
      <pivotArea type="data" outline="0" fieldPosition="0">
        <references count="2">
          <reference field="4294967294" count="1" selected="0">
            <x v="0"/>
          </reference>
          <reference field="3" count="1" selected="0">
            <x v="8"/>
          </reference>
        </references>
      </pivotArea>
    </chartFormat>
    <chartFormat chart="34" format="46" series="1">
      <pivotArea type="data" outline="0" fieldPosition="0">
        <references count="2">
          <reference field="4294967294" count="1" selected="0">
            <x v="0"/>
          </reference>
          <reference field="3" count="1" selected="0">
            <x v="3"/>
          </reference>
        </references>
      </pivotArea>
    </chartFormat>
    <chartFormat chart="33" format="45" series="1">
      <pivotArea type="data" outline="0" fieldPosition="0">
        <references count="2">
          <reference field="4294967294" count="1" selected="0">
            <x v="0"/>
          </reference>
          <reference field="3" count="1" selected="0">
            <x v="3"/>
          </reference>
        </references>
      </pivotArea>
    </chartFormat>
    <chartFormat chart="9" format="47" series="1">
      <pivotArea type="data" outline="0" fieldPosition="0">
        <references count="2">
          <reference field="4294967294" count="1" selected="0">
            <x v="0"/>
          </reference>
          <reference field="3" count="1" selected="0">
            <x v="3"/>
          </reference>
        </references>
      </pivotArea>
    </chartFormat>
    <chartFormat chart="34" format="47" series="1">
      <pivotArea type="data" outline="0" fieldPosition="0">
        <references count="2">
          <reference field="4294967294" count="1" selected="0">
            <x v="0"/>
          </reference>
          <reference field="3" count="1" selected="0">
            <x v="9"/>
          </reference>
        </references>
      </pivotArea>
    </chartFormat>
    <chartFormat chart="33" format="46" series="1">
      <pivotArea type="data" outline="0" fieldPosition="0">
        <references count="2">
          <reference field="4294967294" count="1" selected="0">
            <x v="0"/>
          </reference>
          <reference field="3" count="1" selected="0">
            <x v="9"/>
          </reference>
        </references>
      </pivotArea>
    </chartFormat>
    <chartFormat chart="9" format="48" series="1">
      <pivotArea type="data" outline="0" fieldPosition="0">
        <references count="2">
          <reference field="4294967294" count="1" selected="0">
            <x v="0"/>
          </reference>
          <reference field="3" count="1" selected="0">
            <x v="9"/>
          </reference>
        </references>
      </pivotArea>
    </chartFormat>
    <chartFormat chart="9" format="49" series="1">
      <pivotArea type="data" outline="0" fieldPosition="0">
        <references count="2">
          <reference field="4294967294" count="1" selected="0">
            <x v="0"/>
          </reference>
          <reference field="3" count="1" selected="0">
            <x v="11"/>
          </reference>
        </references>
      </pivotArea>
    </chartFormat>
    <chartFormat chart="9" format="50">
      <pivotArea type="data" outline="0" fieldPosition="0">
        <references count="3">
          <reference field="4294967294" count="1" selected="0">
            <x v="0"/>
          </reference>
          <reference field="3" count="1" selected="0">
            <x v="2"/>
          </reference>
          <reference field="5" count="1" selected="0">
            <x v="3"/>
          </reference>
        </references>
      </pivotArea>
    </chartFormat>
    <chartFormat chart="9" format="51" series="1">
      <pivotArea type="data" outline="0" fieldPosition="0">
        <references count="2">
          <reference field="4294967294" count="1" selected="0">
            <x v="0"/>
          </reference>
          <reference field="3" count="1" selected="0">
            <x v="4"/>
          </reference>
        </references>
      </pivotArea>
    </chartFormat>
    <chartFormat chart="9" format="52" series="1">
      <pivotArea type="data" outline="0" fieldPosition="0">
        <references count="2">
          <reference field="4294967294" count="1" selected="0">
            <x v="0"/>
          </reference>
          <reference field="3" count="1" selected="0">
            <x v="10"/>
          </reference>
        </references>
      </pivotArea>
    </chartFormat>
    <chartFormat chart="9" format="53" series="1">
      <pivotArea type="data" outline="0" fieldPosition="0">
        <references count="2">
          <reference field="4294967294" count="1" selected="0">
            <x v="0"/>
          </reference>
          <reference field="3" count="1" selected="0">
            <x v="6"/>
          </reference>
        </references>
      </pivotArea>
    </chartFormat>
    <chartFormat chart="9" format="54" series="1">
      <pivotArea type="data" outline="0" fieldPosition="0">
        <references count="2">
          <reference field="4294967294" count="1" selected="0">
            <x v="0"/>
          </reference>
          <reference field="3" count="1" selected="0">
            <x v="7"/>
          </reference>
        </references>
      </pivotArea>
    </chartFormat>
    <chartFormat chart="9" format="55" series="1">
      <pivotArea type="data" outline="0" fieldPosition="0">
        <references count="2">
          <reference field="4294967294" count="1" selected="0">
            <x v="0"/>
          </reference>
          <reference field="3" count="1" selected="0">
            <x v="13"/>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D004E17C-F9C1-4644-9B04-3D9F4175B62E}" name="Monthly spendings" cacheId="1"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37">
  <location ref="A4:B15" firstHeaderRow="1" firstDataRow="1" firstDataCol="1" rowPageCount="1" colPageCount="1"/>
  <pivotFields count="8">
    <pivotField axis="axisPage" showAll="0">
      <items count="4">
        <item x="0"/>
        <item x="1"/>
        <item m="1" x="2"/>
        <item t="default"/>
      </items>
    </pivotField>
    <pivotField multipleItemSelectionAllowed="1" showAll="0">
      <items count="128">
        <item x="50"/>
        <item x="49"/>
        <item x="48"/>
        <item x="47"/>
        <item x="46"/>
        <item m="1" x="126"/>
        <item x="45"/>
        <item x="44"/>
        <item m="1" x="125"/>
        <item x="43"/>
        <item x="42"/>
        <item x="41"/>
        <item x="40"/>
        <item m="1" x="69"/>
        <item x="39"/>
        <item m="1" x="124"/>
        <item m="1" x="123"/>
        <item m="1" x="122"/>
        <item m="1" x="121"/>
        <item m="1" x="120"/>
        <item x="38"/>
        <item m="1" x="119"/>
        <item m="1" x="118"/>
        <item x="37"/>
        <item m="1" x="117"/>
        <item x="36"/>
        <item m="1" x="116"/>
        <item m="1" x="115"/>
        <item m="1" x="68"/>
        <item m="1" x="114"/>
        <item m="1" x="113"/>
        <item m="1" x="112"/>
        <item x="35"/>
        <item x="34"/>
        <item m="1" x="111"/>
        <item x="33"/>
        <item x="32"/>
        <item m="1" x="110"/>
        <item x="31"/>
        <item x="30"/>
        <item m="1" x="67"/>
        <item m="1" x="63"/>
        <item m="1" x="109"/>
        <item m="1" x="108"/>
        <item m="1" x="107"/>
        <item m="1" x="106"/>
        <item m="1" x="105"/>
        <item m="1" x="104"/>
        <item m="1" x="103"/>
        <item m="1" x="102"/>
        <item m="1" x="101"/>
        <item x="28"/>
        <item m="1" x="100"/>
        <item m="1" x="99"/>
        <item x="26"/>
        <item m="1" x="98"/>
        <item x="25"/>
        <item m="1" x="97"/>
        <item x="24"/>
        <item x="23"/>
        <item m="1" x="96"/>
        <item x="22"/>
        <item m="1" x="66"/>
        <item x="18"/>
        <item m="1" x="65"/>
        <item x="17"/>
        <item m="1" x="64"/>
        <item x="16"/>
        <item x="15"/>
        <item x="13"/>
        <item m="1" x="58"/>
        <item x="9"/>
        <item x="7"/>
        <item m="1" x="95"/>
        <item x="4"/>
        <item m="1" x="94"/>
        <item m="1" x="93"/>
        <item m="1" x="92"/>
        <item m="1" x="91"/>
        <item m="1" x="90"/>
        <item m="1" x="89"/>
        <item m="1" x="88"/>
        <item m="1" x="87"/>
        <item m="1" x="86"/>
        <item m="1" x="85"/>
        <item m="1" x="84"/>
        <item m="1" x="83"/>
        <item m="1" x="82"/>
        <item m="1" x="81"/>
        <item m="1" x="80"/>
        <item m="1" x="79"/>
        <item m="1" x="77"/>
        <item m="1" x="78"/>
        <item m="1" x="76"/>
        <item m="1" x="75"/>
        <item m="1" x="74"/>
        <item m="1" x="73"/>
        <item m="1" x="72"/>
        <item m="1" x="71"/>
        <item x="19"/>
        <item x="20"/>
        <item x="21"/>
        <item x="27"/>
        <item x="29"/>
        <item m="1" x="70"/>
        <item x="12"/>
        <item x="11"/>
        <item x="10"/>
        <item m="1" x="54"/>
        <item x="14"/>
        <item m="1" x="62"/>
        <item m="1" x="61"/>
        <item m="1" x="60"/>
        <item m="1" x="57"/>
        <item m="1" x="59"/>
        <item m="1" x="52"/>
        <item m="1" x="55"/>
        <item x="0"/>
        <item x="1"/>
        <item x="2"/>
        <item x="3"/>
        <item x="5"/>
        <item x="6"/>
        <item x="8"/>
        <item m="1" x="56"/>
        <item m="1" x="53"/>
        <item m="1" x="51"/>
        <item t="default"/>
      </items>
    </pivotField>
    <pivotField dataField="1" showAll="0"/>
    <pivotField axis="axisRow" showAll="0" sortType="ascending">
      <items count="16">
        <item x="4"/>
        <item x="1"/>
        <item x="10"/>
        <item x="12"/>
        <item x="5"/>
        <item x="3"/>
        <item x="6"/>
        <item x="8"/>
        <item x="7"/>
        <item x="13"/>
        <item x="9"/>
        <item x="2"/>
        <item m="1" x="14"/>
        <item x="11"/>
        <item x="0"/>
        <item t="default"/>
      </items>
      <autoSortScope>
        <pivotArea dataOnly="0" outline="0" fieldPosition="0">
          <references count="1">
            <reference field="4294967294" count="1" selected="0">
              <x v="0"/>
            </reference>
          </references>
        </pivotArea>
      </autoSortScope>
    </pivotField>
    <pivotField showAll="0"/>
    <pivotField axis="axisRow" multipleItemSelectionAllowed="1" showAll="0">
      <items count="15">
        <item h="1" sd="0" x="0"/>
        <item x="1"/>
        <item h="1" x="2"/>
        <item h="1" x="3"/>
        <item h="1" x="4"/>
        <item h="1" x="5"/>
        <item h="1" sd="0" x="6"/>
        <item h="1" sd="0" x="7"/>
        <item h="1" sd="0" x="8"/>
        <item h="1" sd="0" x="9"/>
        <item h="1" sd="0" x="10"/>
        <item h="1" sd="0" x="11"/>
        <item h="1" sd="0" x="12"/>
        <item h="1" sd="0" x="13"/>
        <item t="default"/>
      </items>
    </pivotField>
    <pivotField showAll="0">
      <items count="7">
        <item sd="0" x="1"/>
        <item sd="0" x="2"/>
        <item sd="0" x="3"/>
        <item sd="0" x="4"/>
        <item x="0"/>
        <item x="5"/>
        <item t="default"/>
      </items>
    </pivotField>
    <pivotField showAll="0">
      <items count="4">
        <item sd="0" x="1"/>
        <item x="0"/>
        <item x="2"/>
        <item t="default"/>
      </items>
    </pivotField>
  </pivotFields>
  <rowFields count="2">
    <field x="5"/>
    <field x="3"/>
  </rowFields>
  <rowItems count="11">
    <i>
      <x v="1"/>
    </i>
    <i r="1">
      <x v="7"/>
    </i>
    <i r="1">
      <x v="2"/>
    </i>
    <i r="1">
      <x v="3"/>
    </i>
    <i r="1">
      <x v="8"/>
    </i>
    <i r="1">
      <x v="13"/>
    </i>
    <i r="1">
      <x v="1"/>
    </i>
    <i r="1">
      <x v="10"/>
    </i>
    <i r="1">
      <x v="9"/>
    </i>
    <i r="1">
      <x v="5"/>
    </i>
    <i t="grand">
      <x/>
    </i>
  </rowItems>
  <colItems count="1">
    <i/>
  </colItems>
  <pageFields count="1">
    <pageField fld="0" item="0" hier="-1"/>
  </pageFields>
  <dataFields count="1">
    <dataField name="Sum of AMOUNT" fld="2" baseField="0" baseItem="0" numFmtId="165"/>
  </dataFields>
  <formats count="2">
    <format dxfId="1">
      <pivotArea outline="0" collapsedLevelsAreSubtotals="1" fieldPosition="0"/>
    </format>
    <format dxfId="0">
      <pivotArea dataOnly="0" labelOnly="1" outline="0" axis="axisValues" fieldPosition="0"/>
    </format>
  </formats>
  <chartFormats count="14">
    <chartFormat chart="5" format="1" series="1">
      <pivotArea type="data" outline="0" fieldPosition="0">
        <references count="1">
          <reference field="4294967294" count="1" selected="0">
            <x v="0"/>
          </reference>
        </references>
      </pivotArea>
    </chartFormat>
    <chartFormat chart="13" format="3" series="1">
      <pivotArea type="data" outline="0" fieldPosition="0">
        <references count="1">
          <reference field="4294967294" count="1" selected="0">
            <x v="0"/>
          </reference>
        </references>
      </pivotArea>
    </chartFormat>
    <chartFormat chart="22" format="6" series="1">
      <pivotArea type="data" outline="0" fieldPosition="0">
        <references count="1">
          <reference field="4294967294" count="1" selected="0">
            <x v="0"/>
          </reference>
        </references>
      </pivotArea>
    </chartFormat>
    <chartFormat chart="22" format="120" series="1">
      <pivotArea type="data" outline="0" fieldPosition="0">
        <references count="2">
          <reference field="4294967294" count="1" selected="0">
            <x v="0"/>
          </reference>
          <reference field="3" count="1" selected="0">
            <x v="2"/>
          </reference>
        </references>
      </pivotArea>
    </chartFormat>
    <chartFormat chart="22" format="121" series="1">
      <pivotArea type="data" outline="0" fieldPosition="0">
        <references count="2">
          <reference field="4294967294" count="1" selected="0">
            <x v="0"/>
          </reference>
          <reference field="3" count="1" selected="0">
            <x v="3"/>
          </reference>
        </references>
      </pivotArea>
    </chartFormat>
    <chartFormat chart="22" format="123" series="1">
      <pivotArea type="data" outline="0" fieldPosition="0">
        <references count="2">
          <reference field="4294967294" count="1" selected="0">
            <x v="0"/>
          </reference>
          <reference field="3" count="1" selected="0">
            <x v="8"/>
          </reference>
        </references>
      </pivotArea>
    </chartFormat>
    <chartFormat chart="22" format="125" series="1">
      <pivotArea type="data" outline="0" fieldPosition="0">
        <references count="2">
          <reference field="4294967294" count="1" selected="0">
            <x v="0"/>
          </reference>
          <reference field="3" count="1" selected="0">
            <x v="1"/>
          </reference>
        </references>
      </pivotArea>
    </chartFormat>
    <chartFormat chart="22" format="126" series="1">
      <pivotArea type="data" outline="0" fieldPosition="0">
        <references count="2">
          <reference field="4294967294" count="1" selected="0">
            <x v="0"/>
          </reference>
          <reference field="3" count="1" selected="0">
            <x v="10"/>
          </reference>
        </references>
      </pivotArea>
    </chartFormat>
    <chartFormat chart="22" format="127" series="1">
      <pivotArea type="data" outline="0" fieldPosition="0">
        <references count="2">
          <reference field="4294967294" count="1" selected="0">
            <x v="0"/>
          </reference>
          <reference field="3" count="1" selected="0">
            <x v="9"/>
          </reference>
        </references>
      </pivotArea>
    </chartFormat>
    <chartFormat chart="22" format="128" series="1">
      <pivotArea type="data" outline="0" fieldPosition="0">
        <references count="2">
          <reference field="4294967294" count="1" selected="0">
            <x v="0"/>
          </reference>
          <reference field="3" count="1" selected="0">
            <x v="5"/>
          </reference>
        </references>
      </pivotArea>
    </chartFormat>
    <chartFormat chart="22" format="147" series="1">
      <pivotArea type="data" outline="0" fieldPosition="0">
        <references count="2">
          <reference field="4294967294" count="1" selected="0">
            <x v="0"/>
          </reference>
          <reference field="3" count="1" selected="0">
            <x v="7"/>
          </reference>
        </references>
      </pivotArea>
    </chartFormat>
    <chartFormat chart="22" format="148">
      <pivotArea type="data" outline="0" fieldPosition="0">
        <references count="2">
          <reference field="4294967294" count="1" selected="0">
            <x v="0"/>
          </reference>
          <reference field="3" count="1" selected="0">
            <x v="5"/>
          </reference>
        </references>
      </pivotArea>
    </chartFormat>
    <chartFormat chart="22" format="161">
      <pivotArea type="data" outline="0" fieldPosition="0">
        <references count="3">
          <reference field="4294967294" count="1" selected="0">
            <x v="0"/>
          </reference>
          <reference field="3" count="1" selected="0">
            <x v="5"/>
          </reference>
          <reference field="5" count="1" selected="0">
            <x v="2"/>
          </reference>
        </references>
      </pivotArea>
    </chartFormat>
    <chartFormat chart="22" format="162">
      <pivotArea type="data" outline="0" fieldPosition="0">
        <references count="3">
          <reference field="4294967294" count="1" selected="0">
            <x v="0"/>
          </reference>
          <reference field="3" count="1" selected="0">
            <x v="5"/>
          </reference>
          <reference field="5" count="1" selected="0">
            <x v="1"/>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CATEGORY" xr10:uid="{20101B4C-2682-4D8F-865B-50FC9FBB85EB}" sourceName="CATEGORY">
  <pivotTables>
    <pivotTable tabId="9" name="Category"/>
  </pivotTables>
  <data>
    <tabular pivotCacheId="1083125008">
      <items count="15">
        <i x="4"/>
        <i x="6"/>
        <i x="1" s="1"/>
        <i x="7"/>
        <i x="10"/>
        <i x="12"/>
        <i x="9"/>
        <i x="2"/>
        <i x="13"/>
        <i x="11"/>
        <i x="0"/>
        <i x="3"/>
        <i x="8"/>
        <i x="14" nd="1"/>
        <i x="5" nd="1"/>
      </items>
    </tabular>
  </data>
  <extLst>
    <x:ext xmlns:x15="http://schemas.microsoft.com/office/spreadsheetml/2010/11/main" uri="{470722E0-AACD-4C17-9CDC-17EF765DBC7E}">
      <x15:slicerCacheHideItemsWithNoData/>
    </x:ext>
  </extLst>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Months__DATE" xr10:uid="{6F7C4D96-02B2-4545-8104-6A8051DFC939}" sourceName="Months (DATE)">
  <pivotTables>
    <pivotTable tabId="6" name="Monthly spendings"/>
  </pivotTables>
  <data>
    <tabular pivotCacheId="1889859766">
      <items count="14">
        <i x="1" s="1"/>
        <i x="2"/>
        <i x="3"/>
        <i x="4"/>
        <i x="5"/>
        <i x="6" nd="1"/>
        <i x="7" nd="1"/>
        <i x="8" nd="1"/>
        <i x="9" nd="1"/>
        <i x="10" nd="1"/>
        <i x="11" nd="1"/>
        <i x="12" nd="1"/>
        <i x="0" nd="1"/>
        <i x="13" nd="1"/>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CATEGORY 4" xr10:uid="{0A9CA759-2AAA-4FA4-818A-6962874F4934}" cache="Slicer_CATEGORY" caption="CATEGORY" columnCount="2" showCaption="0" style="SlicerStyleOther2 2 2" rowHeight="180000"/>
  <slicer name="Months 1" xr10:uid="{60933B60-F202-4556-9C76-2A834CF793CC}" cache="Slicer_Months__DATE" caption="Months" columnCount="4" showCaption="0" style="SlicerStyleOther2 2 2" rowHeight="180000"/>
</slicers>
</file>

<file path=xl/slicers/slicer2.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CATEGORY" xr10:uid="{A15207F3-ED01-4BB5-A067-32004226D498}" cache="Slicer_CATEGORY" caption="CATEGORY" rowHeight="247650"/>
</slicers>
</file>

<file path=xl/slicers/slicer3.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Months" xr10:uid="{9AE9ECF5-3358-4659-AC81-CC6A0E41E54E}" cache="Slicer_Months__DATE" caption="Months" columnCount="3" showCaption="0" rowHeight="247650"/>
</slicer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3493ECAD-3D55-4802-AE60-18E5B1E12A71}" name="Data" displayName="Data" ref="A1:E77" totalsRowShown="0" headerRowDxfId="13" dataDxfId="12" tableBorderDxfId="11">
  <autoFilter ref="A1:E77" xr:uid="{3493ECAD-3D55-4802-AE60-18E5B1E12A71}"/>
  <sortState xmlns:xlrd2="http://schemas.microsoft.com/office/spreadsheetml/2017/richdata2" ref="A2:E77">
    <sortCondition descending="1" ref="B1:B77"/>
  </sortState>
  <tableColumns count="5">
    <tableColumn id="1" xr3:uid="{E378E969-CA82-48AD-9E1C-389A289E37DA}" name="TYPE" dataDxfId="10"/>
    <tableColumn id="2" xr3:uid="{42C0B514-C2A6-438D-B56A-9B015A98650A}" name="DATE" dataDxfId="9"/>
    <tableColumn id="3" xr3:uid="{AEA2C8BF-C47F-4695-BEC8-9EBE078B4CBF}" name="AMOUNT" dataDxfId="8" dataCellStyle="Currency"/>
    <tableColumn id="4" xr3:uid="{A3CAFEA0-EF89-4E45-9DA4-43AA8F605636}" name="CATEGORY" dataDxfId="7"/>
    <tableColumn id="5" xr3:uid="{51AB93E2-CB59-46A2-8F4F-67AD7BD276C1}" name="SUBCATEGORY" dataDxfId="6"/>
  </tableColumns>
  <tableStyleInfo name="TableStyleLight14" showFirstColumn="0" showLastColumn="0" showRowStripes="1" showColumnStripes="0"/>
</table>
</file>

<file path=xl/theme/theme1.xml><?xml version="1.0" encoding="utf-8"?>
<a:theme xmlns:a="http://schemas.openxmlformats.org/drawingml/2006/main" name="Office Theme">
  <a:themeElements>
    <a:clrScheme name="Expense tracker">
      <a:dk1>
        <a:sysClr val="windowText" lastClr="000000"/>
      </a:dk1>
      <a:lt1>
        <a:sysClr val="window" lastClr="FFFFFF"/>
      </a:lt1>
      <a:dk2>
        <a:srgbClr val="0E2841"/>
      </a:dk2>
      <a:lt2>
        <a:srgbClr val="E8E8E8"/>
      </a:lt2>
      <a:accent1>
        <a:srgbClr val="17496C"/>
      </a:accent1>
      <a:accent2>
        <a:srgbClr val="B3CBDC"/>
      </a:accent2>
      <a:accent3>
        <a:srgbClr val="2B6A97"/>
      </a:accent3>
      <a:accent4>
        <a:srgbClr val="4D85AD"/>
      </a:accent4>
      <a:accent5>
        <a:srgbClr val="779FBA"/>
      </a:accent5>
      <a:accent6>
        <a:srgbClr val="D6E5EA"/>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ebextensions/_rels/webextension1.xml.rels><?xml version="1.0" encoding="UTF-8" standalone="yes"?>
<Relationships xmlns="http://schemas.openxmlformats.org/package/2006/relationships"><Relationship Id="rId1" Type="http://schemas.openxmlformats.org/officeDocument/2006/relationships/image" Target="../media/image1.png"/></Relationships>
</file>

<file path=xl/webextensions/webextension1.xml><?xml version="1.0" encoding="utf-8"?>
<we:webextension xmlns:we="http://schemas.microsoft.com/office/webextensions/webextension/2010/11" id="{D4B2A874-14BB-EF55-544E-625F424E4572}">
  <we:reference id="wa102957665" version="1.3.0.0" store="en-US" storeType="OMEX"/>
  <we:alternateReferences>
    <we:reference id="wa102957665" version="1.3.0.0" store="wa102957665" storeType="OMEX"/>
  </we:alternateReferences>
  <we:properties>
    <we:property name="opt_cal_sys" value="21"/>
    <we:property name="opt_confirm" value="true"/>
    <we:property name="opt_month" value="&quot;2024-06-01&quot;"/>
    <we:property name="opt_size" value="1"/>
    <we:property name="opt_theme" value="1"/>
    <we:property name="opt_wn" value="false"/>
  </we:properties>
  <we:bindings/>
  <we:snapshot xmlns:r="http://schemas.openxmlformats.org/officeDocument/2006/relationships" r:embed="rId1"/>
</we:webextension>
</file>

<file path=xl/worksheets/_rels/sheet1.xml.rels><?xml version="1.0" encoding="UTF-8" standalone="yes"?>
<Relationships xmlns="http://schemas.openxmlformats.org/package/2006/relationships"><Relationship Id="rId3" Type="http://schemas.microsoft.com/office/2007/relationships/slicer" Target="../slicers/slicer1.xml"/><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table" Target="../tables/table1.xml"/></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1" Type="http://schemas.openxmlformats.org/officeDocument/2006/relationships/pivotTable" Target="../pivotTables/pivotTable1.xml"/></Relationships>
</file>

<file path=xl/worksheets/_rels/sheet5.xml.rels><?xml version="1.0" encoding="UTF-8" standalone="yes"?>
<Relationships xmlns="http://schemas.openxmlformats.org/package/2006/relationships"><Relationship Id="rId1" Type="http://schemas.openxmlformats.org/officeDocument/2006/relationships/pivotTable" Target="../pivotTables/pivotTable2.xml"/></Relationships>
</file>

<file path=xl/worksheets/_rels/sheet6.xml.rels><?xml version="1.0" encoding="UTF-8" standalone="yes"?>
<Relationships xmlns="http://schemas.openxmlformats.org/package/2006/relationships"><Relationship Id="rId3" Type="http://schemas.microsoft.com/office/2007/relationships/slicer" Target="../slicers/slicer2.xml"/><Relationship Id="rId2" Type="http://schemas.openxmlformats.org/officeDocument/2006/relationships/drawing" Target="../drawings/drawing2.xml"/><Relationship Id="rId1" Type="http://schemas.openxmlformats.org/officeDocument/2006/relationships/pivotTable" Target="../pivotTables/pivotTable3.xml"/></Relationships>
</file>

<file path=xl/worksheets/_rels/sheet7.xml.rels><?xml version="1.0" encoding="UTF-8" standalone="yes"?>
<Relationships xmlns="http://schemas.openxmlformats.org/package/2006/relationships"><Relationship Id="rId3" Type="http://schemas.microsoft.com/office/2007/relationships/slicer" Target="../slicers/slicer3.xml"/><Relationship Id="rId2" Type="http://schemas.openxmlformats.org/officeDocument/2006/relationships/drawing" Target="../drawings/drawing3.xml"/><Relationship Id="rId1" Type="http://schemas.openxmlformats.org/officeDocument/2006/relationships/pivotTable" Target="../pivotTables/pivotTable4.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83B825A-3553-4E82-A114-996D67A17628}">
  <sheetPr codeName="Sheet1"/>
  <dimension ref="A1:W33"/>
  <sheetViews>
    <sheetView showGridLines="0" tabSelected="1" zoomScaleNormal="100" workbookViewId="0">
      <selection activeCell="D6" sqref="D6:E6"/>
    </sheetView>
  </sheetViews>
  <sheetFormatPr defaultRowHeight="14.4" x14ac:dyDescent="0.3"/>
  <cols>
    <col min="1" max="1" width="1.6640625" customWidth="1"/>
    <col min="2" max="2" width="2" customWidth="1"/>
    <col min="3" max="3" width="3.6640625" customWidth="1"/>
    <col min="4" max="4" width="6.6640625" customWidth="1"/>
    <col min="5" max="5" width="15.33203125" customWidth="1"/>
    <col min="6" max="6" width="5" customWidth="1"/>
    <col min="7" max="7" width="2.109375" customWidth="1"/>
    <col min="8" max="8" width="10.6640625" customWidth="1"/>
    <col min="9" max="9" width="8.6640625" customWidth="1"/>
    <col min="10" max="10" width="13.6640625" customWidth="1"/>
    <col min="11" max="11" width="4.88671875" customWidth="1"/>
    <col min="12" max="12" width="10.6640625" customWidth="1"/>
    <col min="13" max="13" width="8.6640625" customWidth="1"/>
    <col min="14" max="14" width="19.33203125" customWidth="1"/>
    <col min="15" max="15" width="11.44140625" customWidth="1"/>
    <col min="16" max="16" width="0.6640625" customWidth="1"/>
    <col min="17" max="17" width="8.6640625" customWidth="1"/>
    <col min="18" max="18" width="19.33203125" customWidth="1"/>
    <col min="19" max="19" width="10.6640625" customWidth="1"/>
    <col min="20" max="20" width="8.6640625" customWidth="1"/>
    <col min="21" max="21" width="13.6640625" customWidth="1"/>
    <col min="22" max="22" width="17.6640625" customWidth="1"/>
    <col min="24" max="24" width="6.6640625" customWidth="1"/>
  </cols>
  <sheetData>
    <row r="1" spans="1:23" ht="18" customHeight="1" x14ac:dyDescent="0.3">
      <c r="B1" s="81"/>
      <c r="C1" s="82"/>
      <c r="D1" s="82"/>
      <c r="E1" s="82"/>
      <c r="F1" s="82"/>
      <c r="G1" s="121" t="s">
        <v>0</v>
      </c>
      <c r="H1" s="121"/>
      <c r="I1" s="121"/>
      <c r="J1" s="121"/>
      <c r="K1" s="121"/>
      <c r="L1" s="121"/>
      <c r="M1" s="121"/>
      <c r="N1" s="121"/>
      <c r="O1" s="121"/>
      <c r="P1" s="121"/>
      <c r="Q1" s="121"/>
      <c r="R1" s="121"/>
      <c r="S1" s="121"/>
      <c r="T1" s="121"/>
      <c r="U1" s="121"/>
      <c r="V1" s="122"/>
    </row>
    <row r="2" spans="1:23" ht="14.4" customHeight="1" x14ac:dyDescent="0.3">
      <c r="B2" s="83"/>
      <c r="C2" s="32"/>
      <c r="D2" s="32"/>
      <c r="E2" s="32"/>
      <c r="F2" s="32"/>
      <c r="G2" s="123"/>
      <c r="H2" s="123"/>
      <c r="I2" s="123"/>
      <c r="J2" s="123"/>
      <c r="K2" s="123"/>
      <c r="L2" s="123"/>
      <c r="M2" s="123"/>
      <c r="N2" s="123"/>
      <c r="O2" s="123"/>
      <c r="P2" s="123"/>
      <c r="Q2" s="123"/>
      <c r="R2" s="123"/>
      <c r="S2" s="123"/>
      <c r="T2" s="123"/>
      <c r="U2" s="123"/>
      <c r="V2" s="124"/>
    </row>
    <row r="3" spans="1:23" ht="11.4" customHeight="1" x14ac:dyDescent="0.3">
      <c r="B3" s="84"/>
      <c r="C3" s="111" t="s">
        <v>1</v>
      </c>
      <c r="D3" s="111"/>
      <c r="E3" s="111"/>
      <c r="F3" s="111"/>
      <c r="G3" s="33" t="s">
        <v>2</v>
      </c>
      <c r="H3" s="33"/>
      <c r="I3" s="109" t="s">
        <v>3</v>
      </c>
      <c r="J3" s="115">
        <f>N3-R3</f>
        <v>236623</v>
      </c>
      <c r="K3" s="116"/>
      <c r="L3" s="119"/>
      <c r="M3" s="109" t="s">
        <v>4</v>
      </c>
      <c r="N3" s="115">
        <f>SUMIF(Data!A:A, "Income", Data!C:C)</f>
        <v>501600</v>
      </c>
      <c r="O3" s="34"/>
      <c r="P3" s="35"/>
      <c r="Q3" s="109" t="s">
        <v>5</v>
      </c>
      <c r="R3" s="115">
        <f>SUMIF(Data!A:A, "Expense", Data!C:C)</f>
        <v>264977</v>
      </c>
      <c r="S3" s="35"/>
      <c r="T3" s="109" t="s">
        <v>6</v>
      </c>
      <c r="U3" s="125">
        <f>J3/N3</f>
        <v>0.4717364433811802</v>
      </c>
      <c r="V3" s="85"/>
    </row>
    <row r="4" spans="1:23" ht="13.95" customHeight="1" x14ac:dyDescent="0.3">
      <c r="B4" s="84"/>
      <c r="C4" s="111"/>
      <c r="D4" s="111"/>
      <c r="E4" s="111"/>
      <c r="F4" s="111"/>
      <c r="G4" s="33"/>
      <c r="H4" s="33"/>
      <c r="I4" s="109"/>
      <c r="J4" s="115"/>
      <c r="K4" s="116"/>
      <c r="L4" s="119"/>
      <c r="M4" s="109"/>
      <c r="N4" s="115"/>
      <c r="O4" s="34"/>
      <c r="P4" s="36"/>
      <c r="Q4" s="109"/>
      <c r="R4" s="115"/>
      <c r="S4" s="33"/>
      <c r="T4" s="109"/>
      <c r="U4" s="125"/>
      <c r="V4" s="86"/>
    </row>
    <row r="5" spans="1:23" ht="16.95" customHeight="1" thickBot="1" x14ac:dyDescent="0.35">
      <c r="B5" s="84"/>
      <c r="C5" s="37"/>
      <c r="D5" s="38" t="s">
        <v>7</v>
      </c>
      <c r="E5" s="37"/>
      <c r="F5" s="37"/>
      <c r="G5" s="29"/>
      <c r="H5" s="29"/>
      <c r="I5" s="110"/>
      <c r="J5" s="117"/>
      <c r="K5" s="118"/>
      <c r="L5" s="120"/>
      <c r="M5" s="110"/>
      <c r="N5" s="117"/>
      <c r="O5" s="31"/>
      <c r="P5" s="30"/>
      <c r="Q5" s="110"/>
      <c r="R5" s="117"/>
      <c r="S5" s="29"/>
      <c r="T5" s="110"/>
      <c r="U5" s="126"/>
      <c r="V5" s="87"/>
    </row>
    <row r="6" spans="1:23" ht="14.4" customHeight="1" x14ac:dyDescent="0.3">
      <c r="B6" s="88"/>
      <c r="C6" s="37"/>
      <c r="D6" s="112"/>
      <c r="E6" s="112"/>
      <c r="F6" s="37"/>
      <c r="G6" s="39"/>
      <c r="H6" s="40"/>
      <c r="I6" s="40"/>
      <c r="J6" s="41"/>
      <c r="K6" s="42"/>
      <c r="L6" s="41"/>
      <c r="M6" s="41"/>
      <c r="N6" s="41"/>
      <c r="O6" s="41"/>
      <c r="P6" s="41"/>
      <c r="Q6" s="41"/>
      <c r="R6" s="41"/>
      <c r="S6" s="43"/>
      <c r="T6" s="43"/>
      <c r="U6" s="43"/>
      <c r="V6" s="43"/>
      <c r="W6" s="102"/>
    </row>
    <row r="7" spans="1:23" ht="14.4" customHeight="1" x14ac:dyDescent="0.3">
      <c r="B7" s="88"/>
      <c r="C7" s="37"/>
      <c r="D7" s="38" t="s">
        <v>9</v>
      </c>
      <c r="E7" s="37"/>
      <c r="F7" s="44"/>
      <c r="G7" s="45"/>
      <c r="H7" s="114" t="s">
        <v>10</v>
      </c>
      <c r="I7" s="114"/>
      <c r="J7" s="114"/>
      <c r="K7" s="46"/>
      <c r="L7" s="113" t="s">
        <v>11</v>
      </c>
      <c r="M7" s="113"/>
      <c r="N7" s="113"/>
      <c r="O7" s="47"/>
      <c r="P7" s="48"/>
      <c r="Q7" s="43"/>
      <c r="S7" s="43"/>
      <c r="T7" s="43"/>
      <c r="U7" s="43"/>
      <c r="V7" s="89"/>
      <c r="W7" s="102"/>
    </row>
    <row r="8" spans="1:23" ht="13.2" customHeight="1" x14ac:dyDescent="0.3">
      <c r="B8" s="88"/>
      <c r="C8" s="49"/>
      <c r="D8" s="108"/>
      <c r="E8" s="107"/>
      <c r="F8" s="50"/>
      <c r="G8" s="5"/>
      <c r="H8" s="51"/>
      <c r="L8" s="43"/>
      <c r="M8" s="43"/>
      <c r="N8" s="43"/>
      <c r="O8" s="43"/>
      <c r="P8" s="43"/>
      <c r="Q8" s="43"/>
      <c r="R8" s="48"/>
      <c r="S8" s="48"/>
      <c r="T8" s="43"/>
      <c r="U8" s="43"/>
      <c r="V8" s="89"/>
    </row>
    <row r="9" spans="1:23" x14ac:dyDescent="0.3">
      <c r="B9" s="88"/>
      <c r="C9" s="49"/>
      <c r="D9" s="38" t="s">
        <v>12</v>
      </c>
      <c r="E9" s="52"/>
      <c r="F9" s="49"/>
      <c r="G9" s="51"/>
      <c r="H9" s="5"/>
      <c r="L9" s="43"/>
      <c r="M9" s="43"/>
      <c r="N9" s="43"/>
      <c r="O9" s="43"/>
      <c r="P9" s="43"/>
      <c r="Q9" s="43"/>
      <c r="R9" s="43"/>
      <c r="S9" s="43"/>
      <c r="T9" s="43"/>
      <c r="U9" s="43"/>
      <c r="V9" s="89"/>
    </row>
    <row r="10" spans="1:23" x14ac:dyDescent="0.3">
      <c r="B10" s="88"/>
      <c r="C10" s="49"/>
      <c r="D10" s="106"/>
      <c r="E10" s="106"/>
      <c r="F10" s="49"/>
      <c r="H10" s="53"/>
      <c r="L10" s="43"/>
      <c r="M10" s="43"/>
      <c r="N10" s="43"/>
      <c r="O10" s="43"/>
      <c r="P10" s="43"/>
      <c r="Q10" s="43"/>
      <c r="R10" s="43"/>
      <c r="S10" s="43"/>
      <c r="T10" s="43"/>
      <c r="U10" s="43"/>
      <c r="V10" s="89"/>
    </row>
    <row r="11" spans="1:23" x14ac:dyDescent="0.3">
      <c r="B11" s="88"/>
      <c r="C11" s="49"/>
      <c r="D11" s="38" t="s">
        <v>13</v>
      </c>
      <c r="E11" s="54"/>
      <c r="F11" s="37"/>
      <c r="H11" s="5"/>
      <c r="L11" s="43"/>
      <c r="M11" s="43"/>
      <c r="N11" s="43"/>
      <c r="O11" s="43"/>
      <c r="P11" s="43"/>
      <c r="Q11" s="43"/>
      <c r="R11" s="43"/>
      <c r="S11" s="43"/>
      <c r="T11" s="43"/>
      <c r="U11" s="43"/>
      <c r="V11" s="89"/>
    </row>
    <row r="12" spans="1:23" x14ac:dyDescent="0.3">
      <c r="A12" s="20"/>
      <c r="B12" s="90"/>
      <c r="C12" s="55"/>
      <c r="D12" s="107"/>
      <c r="E12" s="107"/>
      <c r="F12" s="56"/>
      <c r="H12" s="57"/>
      <c r="L12" s="43"/>
      <c r="M12" s="43"/>
      <c r="N12" s="43"/>
      <c r="O12" s="43"/>
      <c r="P12" s="43"/>
      <c r="Q12" s="43"/>
      <c r="R12" s="43"/>
      <c r="S12" s="43"/>
      <c r="T12" s="43"/>
      <c r="U12" s="43"/>
      <c r="V12" s="89"/>
    </row>
    <row r="13" spans="1:23" x14ac:dyDescent="0.3">
      <c r="A13" s="20"/>
      <c r="B13" s="90"/>
      <c r="C13" s="55"/>
      <c r="D13" s="38" t="s">
        <v>14</v>
      </c>
      <c r="E13" s="54"/>
      <c r="F13" s="58"/>
      <c r="H13" s="59"/>
      <c r="L13" s="43"/>
      <c r="M13" s="43"/>
      <c r="N13" s="43"/>
      <c r="O13" s="43"/>
      <c r="P13" s="43"/>
      <c r="Q13" s="43"/>
      <c r="R13" s="43"/>
      <c r="S13" s="43"/>
      <c r="T13" s="43"/>
      <c r="U13" s="43"/>
      <c r="V13" s="89"/>
    </row>
    <row r="14" spans="1:23" x14ac:dyDescent="0.3">
      <c r="A14" s="20"/>
      <c r="B14" s="91"/>
      <c r="C14" s="60"/>
      <c r="D14" s="107"/>
      <c r="E14" s="107"/>
      <c r="F14" s="61"/>
      <c r="H14" s="59"/>
      <c r="L14" s="43"/>
      <c r="M14" s="43"/>
      <c r="N14" s="43"/>
      <c r="O14" s="43"/>
      <c r="P14" s="43"/>
      <c r="Q14" s="43"/>
      <c r="R14" s="43"/>
      <c r="S14" s="43"/>
      <c r="T14" s="43"/>
      <c r="U14" s="43"/>
      <c r="V14" s="89"/>
    </row>
    <row r="15" spans="1:23" x14ac:dyDescent="0.3">
      <c r="B15" s="88"/>
      <c r="C15" s="56"/>
      <c r="D15" s="62"/>
      <c r="E15" s="62"/>
      <c r="F15" s="44"/>
      <c r="L15" s="43"/>
      <c r="M15" s="43"/>
      <c r="N15" s="43"/>
      <c r="O15" s="43"/>
      <c r="P15" s="43"/>
      <c r="Q15" s="43"/>
      <c r="R15" s="43"/>
      <c r="S15" s="43"/>
      <c r="T15" s="43"/>
      <c r="U15" s="43"/>
      <c r="V15" s="89"/>
    </row>
    <row r="16" spans="1:23" ht="14.4" customHeight="1" x14ac:dyDescent="0.3">
      <c r="B16" s="88"/>
      <c r="C16" s="49"/>
      <c r="D16" s="63"/>
      <c r="E16" s="63"/>
      <c r="F16" s="44"/>
      <c r="L16" s="43"/>
      <c r="M16" s="43"/>
      <c r="N16" s="43"/>
      <c r="O16" s="43"/>
      <c r="P16" s="43"/>
      <c r="Q16" s="43"/>
      <c r="R16" s="43"/>
      <c r="S16" s="43"/>
      <c r="T16" s="43"/>
      <c r="U16" s="43"/>
      <c r="V16" s="43"/>
      <c r="W16" s="104"/>
    </row>
    <row r="17" spans="2:22" ht="14.4" customHeight="1" x14ac:dyDescent="0.3">
      <c r="B17" s="92"/>
      <c r="C17" s="64"/>
      <c r="D17" s="65"/>
      <c r="E17" s="65"/>
      <c r="F17" s="44"/>
      <c r="L17" s="43"/>
      <c r="M17" s="43"/>
      <c r="N17" s="43"/>
      <c r="O17" s="43"/>
      <c r="P17" s="43"/>
      <c r="Q17" s="43"/>
      <c r="R17" s="43"/>
      <c r="S17" s="43"/>
      <c r="T17" s="43"/>
      <c r="U17" s="43"/>
      <c r="V17" s="89"/>
    </row>
    <row r="18" spans="2:22" ht="14.4" customHeight="1" x14ac:dyDescent="0.3">
      <c r="B18" s="93"/>
      <c r="C18" s="66"/>
      <c r="D18" s="67"/>
      <c r="E18" s="67"/>
      <c r="F18" s="44"/>
      <c r="L18" s="43"/>
      <c r="M18" s="43"/>
      <c r="N18" s="43"/>
      <c r="O18" s="43"/>
      <c r="P18" s="43"/>
      <c r="Q18" s="43"/>
      <c r="R18" s="43"/>
      <c r="S18" s="43"/>
      <c r="T18" s="43"/>
      <c r="U18" s="43"/>
      <c r="V18" s="89"/>
    </row>
    <row r="19" spans="2:22" ht="14.4" customHeight="1" x14ac:dyDescent="0.3">
      <c r="B19" s="94"/>
      <c r="C19" s="68"/>
      <c r="D19" s="69"/>
      <c r="E19" s="70"/>
      <c r="F19" s="71"/>
      <c r="H19" s="43"/>
      <c r="I19" s="43"/>
      <c r="J19" s="43"/>
      <c r="L19" s="43"/>
      <c r="M19" s="72"/>
      <c r="N19" s="43"/>
      <c r="O19" s="43"/>
      <c r="P19" s="43"/>
      <c r="Q19" s="43"/>
      <c r="R19" s="48"/>
      <c r="S19" s="48"/>
      <c r="T19" s="43"/>
      <c r="U19" s="43"/>
      <c r="V19" s="89"/>
    </row>
    <row r="20" spans="2:22" x14ac:dyDescent="0.3">
      <c r="B20" s="95"/>
      <c r="C20" s="73"/>
      <c r="D20" s="73"/>
      <c r="E20" s="74"/>
      <c r="F20" s="75"/>
      <c r="H20" s="113" t="s">
        <v>15</v>
      </c>
      <c r="I20" s="113"/>
      <c r="J20" s="113"/>
      <c r="K20" s="72"/>
      <c r="M20" s="72"/>
      <c r="N20" s="72"/>
      <c r="O20" s="72"/>
      <c r="P20" s="113" t="s">
        <v>16</v>
      </c>
      <c r="Q20" s="113"/>
      <c r="R20" s="113"/>
      <c r="S20" s="72"/>
      <c r="T20" s="43"/>
      <c r="U20" s="43"/>
      <c r="V20" s="89"/>
    </row>
    <row r="21" spans="2:22" x14ac:dyDescent="0.3">
      <c r="B21" s="95"/>
      <c r="C21" s="73"/>
      <c r="D21" s="73"/>
      <c r="E21" s="76"/>
      <c r="F21" s="71"/>
      <c r="P21" s="43"/>
      <c r="Q21" s="43"/>
      <c r="R21" s="43"/>
      <c r="S21" s="43"/>
      <c r="T21" s="43"/>
      <c r="U21" s="43"/>
      <c r="V21" s="89"/>
    </row>
    <row r="22" spans="2:22" x14ac:dyDescent="0.3">
      <c r="B22" s="95"/>
      <c r="C22" s="73"/>
      <c r="D22" s="73"/>
      <c r="E22" s="76"/>
      <c r="F22" s="71"/>
      <c r="H22" s="43"/>
      <c r="I22" s="43"/>
      <c r="J22" s="43"/>
      <c r="L22" s="43"/>
      <c r="M22" s="43"/>
      <c r="N22" s="43"/>
      <c r="O22" s="43"/>
      <c r="P22" s="43"/>
      <c r="Q22" s="43"/>
      <c r="R22" s="43"/>
      <c r="S22" s="43"/>
      <c r="T22" s="43"/>
      <c r="U22" s="43"/>
      <c r="V22" s="89"/>
    </row>
    <row r="23" spans="2:22" x14ac:dyDescent="0.3">
      <c r="B23" s="95"/>
      <c r="C23" s="68"/>
      <c r="D23" s="73"/>
      <c r="E23" s="74"/>
      <c r="F23" s="75"/>
      <c r="H23" s="43"/>
      <c r="I23" s="43"/>
      <c r="J23" s="43"/>
      <c r="L23" s="43"/>
      <c r="M23" s="43"/>
      <c r="N23" s="43"/>
      <c r="O23" s="43"/>
      <c r="P23" s="43"/>
      <c r="Q23" s="43"/>
      <c r="R23" s="43"/>
      <c r="S23" s="43"/>
      <c r="T23" s="43"/>
      <c r="U23" s="43"/>
      <c r="V23" s="89"/>
    </row>
    <row r="24" spans="2:22" x14ac:dyDescent="0.3">
      <c r="B24" s="95"/>
      <c r="C24" s="73"/>
      <c r="D24" s="73"/>
      <c r="E24" s="76"/>
      <c r="F24" s="71"/>
      <c r="H24" s="43"/>
      <c r="I24" s="43"/>
      <c r="J24" s="43"/>
      <c r="L24" s="43"/>
      <c r="M24" s="43"/>
      <c r="N24" s="43"/>
      <c r="O24" s="43"/>
      <c r="P24" s="43"/>
      <c r="Q24" s="43"/>
      <c r="R24" s="43"/>
      <c r="S24" s="43"/>
      <c r="T24" s="43"/>
      <c r="U24" s="43"/>
      <c r="V24" s="89"/>
    </row>
    <row r="25" spans="2:22" x14ac:dyDescent="0.3">
      <c r="B25" s="95"/>
      <c r="C25" s="73"/>
      <c r="D25" s="73"/>
      <c r="E25" s="76" t="s">
        <v>6</v>
      </c>
      <c r="F25" s="71"/>
      <c r="H25" s="43"/>
      <c r="I25" s="43"/>
      <c r="J25" s="43"/>
      <c r="L25" s="43"/>
      <c r="M25" s="43"/>
      <c r="N25" s="43"/>
      <c r="O25" s="43"/>
      <c r="P25" s="43"/>
      <c r="Q25" s="43"/>
      <c r="R25" s="43"/>
      <c r="S25" s="43"/>
      <c r="T25" s="43"/>
      <c r="U25" s="43"/>
      <c r="V25" s="89"/>
    </row>
    <row r="26" spans="2:22" x14ac:dyDescent="0.3">
      <c r="B26" s="95"/>
      <c r="C26" s="73"/>
      <c r="D26" s="73"/>
      <c r="E26" s="77">
        <v>0.28900703597614041</v>
      </c>
      <c r="F26" s="78"/>
      <c r="H26" s="43"/>
      <c r="I26" s="43"/>
      <c r="J26" s="43"/>
      <c r="L26" s="43"/>
      <c r="M26" s="43"/>
      <c r="N26" s="43"/>
      <c r="O26" s="43"/>
      <c r="P26" s="43"/>
      <c r="Q26" s="43"/>
      <c r="R26" s="43"/>
      <c r="S26" s="43"/>
      <c r="T26" s="43"/>
      <c r="U26" s="43"/>
      <c r="V26" s="89"/>
    </row>
    <row r="27" spans="2:22" x14ac:dyDescent="0.3">
      <c r="B27" s="95"/>
      <c r="C27" s="73"/>
      <c r="D27" s="73"/>
      <c r="E27" s="73"/>
      <c r="F27" s="79"/>
      <c r="H27" s="80"/>
      <c r="I27" s="80"/>
      <c r="J27" s="43"/>
      <c r="L27" s="43"/>
      <c r="M27" s="43"/>
      <c r="N27" s="43"/>
      <c r="O27" s="43"/>
      <c r="P27" s="43"/>
      <c r="Q27" s="43"/>
      <c r="R27" s="43"/>
      <c r="S27" s="43"/>
      <c r="T27" s="43"/>
      <c r="U27" s="43"/>
      <c r="V27" s="89"/>
    </row>
    <row r="28" spans="2:22" x14ac:dyDescent="0.3">
      <c r="B28" s="95"/>
      <c r="C28" s="73"/>
      <c r="D28" s="73"/>
      <c r="E28" s="73"/>
      <c r="F28" s="79"/>
      <c r="H28" s="80"/>
      <c r="I28" s="80"/>
      <c r="J28" s="43"/>
      <c r="L28" s="43"/>
      <c r="M28" s="43"/>
      <c r="N28" s="43"/>
      <c r="O28" s="43"/>
      <c r="P28" s="43"/>
      <c r="Q28" s="43"/>
      <c r="R28" s="43"/>
      <c r="S28" s="43"/>
      <c r="T28" s="43"/>
      <c r="U28" s="43"/>
      <c r="V28" s="89"/>
    </row>
    <row r="29" spans="2:22" x14ac:dyDescent="0.3">
      <c r="B29" s="95"/>
      <c r="C29" s="73"/>
      <c r="D29" s="73"/>
      <c r="E29" s="73"/>
      <c r="F29" s="79"/>
      <c r="H29" s="80"/>
      <c r="I29" s="80"/>
      <c r="J29" s="43"/>
      <c r="L29" s="43"/>
      <c r="M29" s="43"/>
      <c r="N29" s="43"/>
      <c r="O29" s="43"/>
      <c r="P29" s="43"/>
      <c r="Q29" s="43"/>
      <c r="R29" s="43"/>
      <c r="S29" s="43"/>
      <c r="T29" s="43"/>
      <c r="U29" s="43"/>
      <c r="V29" s="89"/>
    </row>
    <row r="30" spans="2:22" x14ac:dyDescent="0.3">
      <c r="B30" s="96"/>
      <c r="C30" s="44"/>
      <c r="D30" s="44"/>
      <c r="E30" s="44"/>
      <c r="F30" s="44"/>
      <c r="G30" s="13"/>
      <c r="H30" s="80"/>
      <c r="I30" s="80"/>
      <c r="J30" s="43"/>
      <c r="L30" s="43"/>
      <c r="M30" s="43"/>
      <c r="N30" s="43"/>
      <c r="O30" s="43"/>
      <c r="P30" s="43"/>
      <c r="Q30" s="43"/>
      <c r="R30" s="43"/>
      <c r="S30" s="43"/>
      <c r="T30" s="43"/>
      <c r="U30" s="43"/>
      <c r="V30" s="89"/>
    </row>
    <row r="31" spans="2:22" x14ac:dyDescent="0.3">
      <c r="B31" s="96"/>
      <c r="C31" s="44"/>
      <c r="D31" s="44"/>
      <c r="E31" s="44"/>
      <c r="F31" s="44"/>
      <c r="H31" s="43"/>
      <c r="I31" s="43"/>
      <c r="J31" s="43"/>
      <c r="L31" s="43"/>
      <c r="M31" s="43"/>
      <c r="N31" s="43"/>
      <c r="O31" s="43"/>
      <c r="P31" s="43"/>
      <c r="Q31" s="43"/>
      <c r="R31" s="43"/>
      <c r="S31" s="43"/>
      <c r="T31" s="43"/>
      <c r="U31" s="43"/>
      <c r="V31" s="89"/>
    </row>
    <row r="32" spans="2:22" x14ac:dyDescent="0.3">
      <c r="B32" s="96"/>
      <c r="C32" s="44"/>
      <c r="D32" s="44"/>
      <c r="E32" s="44"/>
      <c r="F32" s="44"/>
      <c r="H32" s="43"/>
      <c r="I32" s="43"/>
      <c r="J32" s="43"/>
      <c r="L32" s="43"/>
      <c r="M32" s="43"/>
      <c r="N32" s="43"/>
      <c r="O32" s="43"/>
      <c r="P32" s="43"/>
      <c r="Q32" s="43"/>
      <c r="R32" s="43"/>
      <c r="S32" s="43"/>
      <c r="T32" s="43"/>
      <c r="U32" s="43"/>
      <c r="V32" s="89"/>
    </row>
    <row r="33" spans="2:22" ht="14.4" customHeight="1" thickBot="1" x14ac:dyDescent="0.35">
      <c r="B33" s="97"/>
      <c r="C33" s="98"/>
      <c r="D33" s="98"/>
      <c r="E33" s="98"/>
      <c r="F33" s="98"/>
      <c r="G33" s="99"/>
      <c r="H33" s="100"/>
      <c r="I33" s="100"/>
      <c r="J33" s="103"/>
      <c r="K33" s="99"/>
      <c r="L33" s="99"/>
      <c r="M33" s="99"/>
      <c r="N33" s="99"/>
      <c r="O33" s="99"/>
      <c r="P33" s="100"/>
      <c r="Q33" s="100"/>
      <c r="R33" s="100"/>
      <c r="S33" s="100"/>
      <c r="T33" s="100"/>
      <c r="U33" s="100"/>
      <c r="V33" s="101"/>
    </row>
  </sheetData>
  <sheetProtection sheet="1" objects="1" scenarios="1" selectLockedCells="1"/>
  <protectedRanges>
    <protectedRange sqref="D6" name="Range1"/>
  </protectedRanges>
  <mergeCells count="20">
    <mergeCell ref="H20:J20"/>
    <mergeCell ref="G1:V2"/>
    <mergeCell ref="U3:U5"/>
    <mergeCell ref="P20:R20"/>
    <mergeCell ref="D10:E10"/>
    <mergeCell ref="D12:E12"/>
    <mergeCell ref="D14:E14"/>
    <mergeCell ref="D8:E8"/>
    <mergeCell ref="T3:T5"/>
    <mergeCell ref="C3:F4"/>
    <mergeCell ref="D6:E6"/>
    <mergeCell ref="L7:N7"/>
    <mergeCell ref="H7:J7"/>
    <mergeCell ref="J3:K5"/>
    <mergeCell ref="M3:M5"/>
    <mergeCell ref="N3:N5"/>
    <mergeCell ref="Q3:Q5"/>
    <mergeCell ref="I3:I5"/>
    <mergeCell ref="R3:R5"/>
    <mergeCell ref="L3:L5"/>
  </mergeCells>
  <phoneticPr fontId="4" type="noConversion"/>
  <dataValidations count="2">
    <dataValidation type="list" allowBlank="1" showInputMessage="1" showErrorMessage="1" sqref="D12:E12" xr:uid="{FE79F881-A42B-4DAC-A0B1-A9EBEB06AE93}">
      <formula1>INDIRECT($D$6)</formula1>
    </dataValidation>
    <dataValidation type="list" allowBlank="1" showInputMessage="1" showErrorMessage="1" sqref="D14:E14" xr:uid="{5251B1A4-7E71-40E6-A116-FE57A3B8408C}">
      <formula1>INDIRECT($D$12)</formula1>
    </dataValidation>
  </dataValidations>
  <pageMargins left="0.7" right="0.7" top="0.75" bottom="0.75" header="0.3" footer="0.3"/>
  <pageSetup paperSize="9" orientation="portrait" r:id="rId1"/>
  <drawing r:id="rId2"/>
  <extLst>
    <ext xmlns:x14="http://schemas.microsoft.com/office/spreadsheetml/2009/9/main" uri="{CCE6A557-97BC-4b89-ADB6-D9C93CAAB3DF}">
      <x14:dataValidations xmlns:xm="http://schemas.microsoft.com/office/excel/2006/main" count="1">
        <x14:dataValidation type="list" allowBlank="1" showInputMessage="1" showErrorMessage="1" xr:uid="{140CB2FA-318C-4007-B17B-D6929053523C}">
          <x14:formula1>
            <xm:f>Settings!$A$14:$B$14</xm:f>
          </x14:formula1>
          <xm:sqref>D6:E6</xm:sqref>
        </x14:dataValidation>
      </x14:dataValidations>
    </ext>
    <ext xmlns:x14="http://schemas.microsoft.com/office/spreadsheetml/2009/9/main" uri="{A8765BA9-456A-4dab-B4F3-ACF838C121DE}">
      <x14:slicerList>
        <x14:slicer r:id="rId3"/>
      </x14:slicerList>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E5F29D6-8B18-4FCC-BE27-488C1544C715}">
  <sheetPr codeName="Sheet2"/>
  <dimension ref="A1:E77"/>
  <sheetViews>
    <sheetView workbookViewId="0">
      <pane ySplit="1" topLeftCell="A2" activePane="bottomLeft" state="frozen"/>
      <selection pane="bottomLeft" activeCell="K16" sqref="K16"/>
    </sheetView>
  </sheetViews>
  <sheetFormatPr defaultRowHeight="14.4" x14ac:dyDescent="0.3"/>
  <cols>
    <col min="1" max="2" width="10.33203125" customWidth="1"/>
    <col min="3" max="3" width="11.33203125" bestFit="1" customWidth="1"/>
    <col min="4" max="4" width="12.6640625" bestFit="1" customWidth="1"/>
    <col min="5" max="5" width="16.109375" bestFit="1" customWidth="1"/>
  </cols>
  <sheetData>
    <row r="1" spans="1:5" x14ac:dyDescent="0.3">
      <c r="A1" s="21" t="s">
        <v>17</v>
      </c>
      <c r="B1" s="22" t="s">
        <v>18</v>
      </c>
      <c r="C1" s="23" t="s">
        <v>19</v>
      </c>
      <c r="D1" s="21" t="s">
        <v>20</v>
      </c>
      <c r="E1" s="21" t="s">
        <v>21</v>
      </c>
    </row>
    <row r="2" spans="1:5" x14ac:dyDescent="0.3">
      <c r="A2" t="s">
        <v>22</v>
      </c>
      <c r="B2" s="2">
        <v>45437</v>
      </c>
      <c r="C2" s="15">
        <v>2000</v>
      </c>
      <c r="D2" t="s">
        <v>23</v>
      </c>
      <c r="E2" t="s">
        <v>24</v>
      </c>
    </row>
    <row r="3" spans="1:5" x14ac:dyDescent="0.3">
      <c r="A3" t="s">
        <v>22</v>
      </c>
      <c r="B3" s="2">
        <v>45434</v>
      </c>
      <c r="C3" s="15">
        <v>11170</v>
      </c>
      <c r="D3" t="s">
        <v>25</v>
      </c>
      <c r="E3" t="s">
        <v>26</v>
      </c>
    </row>
    <row r="4" spans="1:5" x14ac:dyDescent="0.3">
      <c r="A4" t="s">
        <v>22</v>
      </c>
      <c r="B4" s="2">
        <v>45431</v>
      </c>
      <c r="C4" s="15">
        <v>520</v>
      </c>
      <c r="D4" t="s">
        <v>27</v>
      </c>
      <c r="E4" t="s">
        <v>28</v>
      </c>
    </row>
    <row r="5" spans="1:5" x14ac:dyDescent="0.3">
      <c r="A5" t="s">
        <v>22</v>
      </c>
      <c r="B5" s="2">
        <v>45429</v>
      </c>
      <c r="C5" s="15">
        <v>500</v>
      </c>
      <c r="D5" t="s">
        <v>29</v>
      </c>
      <c r="E5" t="s">
        <v>30</v>
      </c>
    </row>
    <row r="6" spans="1:5" x14ac:dyDescent="0.3">
      <c r="A6" s="26" t="s">
        <v>22</v>
      </c>
      <c r="B6" s="24">
        <v>45429</v>
      </c>
      <c r="C6" s="25">
        <v>23000</v>
      </c>
      <c r="D6" s="26" t="s">
        <v>29</v>
      </c>
      <c r="E6" s="26" t="s">
        <v>31</v>
      </c>
    </row>
    <row r="7" spans="1:5" x14ac:dyDescent="0.3">
      <c r="A7" t="s">
        <v>22</v>
      </c>
      <c r="B7" s="2">
        <v>45427</v>
      </c>
      <c r="C7" s="15">
        <v>795</v>
      </c>
      <c r="D7" t="s">
        <v>32</v>
      </c>
      <c r="E7" t="s">
        <v>33</v>
      </c>
    </row>
    <row r="8" spans="1:5" x14ac:dyDescent="0.3">
      <c r="A8" t="s">
        <v>22</v>
      </c>
      <c r="B8" s="2">
        <v>45427</v>
      </c>
      <c r="C8" s="15">
        <v>1128</v>
      </c>
      <c r="D8" t="s">
        <v>32</v>
      </c>
      <c r="E8" t="s">
        <v>34</v>
      </c>
    </row>
    <row r="9" spans="1:5" x14ac:dyDescent="0.3">
      <c r="A9" s="26" t="s">
        <v>8</v>
      </c>
      <c r="B9" s="24">
        <v>45427</v>
      </c>
      <c r="C9" s="25">
        <v>60000</v>
      </c>
      <c r="D9" s="26" t="s">
        <v>35</v>
      </c>
      <c r="E9" s="26" t="s">
        <v>36</v>
      </c>
    </row>
    <row r="10" spans="1:5" x14ac:dyDescent="0.3">
      <c r="A10" s="26" t="s">
        <v>8</v>
      </c>
      <c r="B10" s="24">
        <v>45427</v>
      </c>
      <c r="C10" s="25">
        <v>40000</v>
      </c>
      <c r="D10" s="26" t="s">
        <v>35</v>
      </c>
      <c r="E10" s="26" t="s">
        <v>37</v>
      </c>
    </row>
    <row r="11" spans="1:5" x14ac:dyDescent="0.3">
      <c r="A11" s="26" t="s">
        <v>8</v>
      </c>
      <c r="B11" s="24">
        <v>45426</v>
      </c>
      <c r="C11" s="25">
        <v>3000</v>
      </c>
      <c r="D11" s="26" t="s">
        <v>35</v>
      </c>
      <c r="E11" s="26" t="s">
        <v>38</v>
      </c>
    </row>
    <row r="12" spans="1:5" x14ac:dyDescent="0.3">
      <c r="A12" t="s">
        <v>22</v>
      </c>
      <c r="B12" s="24">
        <v>45420</v>
      </c>
      <c r="C12" s="25">
        <v>2700</v>
      </c>
      <c r="D12" s="26" t="s">
        <v>39</v>
      </c>
      <c r="E12" s="26" t="s">
        <v>40</v>
      </c>
    </row>
    <row r="13" spans="1:5" x14ac:dyDescent="0.3">
      <c r="A13" t="s">
        <v>22</v>
      </c>
      <c r="B13" s="2">
        <v>45420</v>
      </c>
      <c r="C13" s="15">
        <v>110</v>
      </c>
      <c r="D13" t="s">
        <v>41</v>
      </c>
      <c r="E13" t="s">
        <v>42</v>
      </c>
    </row>
    <row r="14" spans="1:5" x14ac:dyDescent="0.3">
      <c r="A14" t="s">
        <v>22</v>
      </c>
      <c r="B14" s="2">
        <v>45420</v>
      </c>
      <c r="C14" s="15">
        <v>780</v>
      </c>
      <c r="D14" t="s">
        <v>41</v>
      </c>
      <c r="E14" t="s">
        <v>43</v>
      </c>
    </row>
    <row r="15" spans="1:5" x14ac:dyDescent="0.3">
      <c r="A15" t="s">
        <v>22</v>
      </c>
      <c r="B15" s="2">
        <v>45420</v>
      </c>
      <c r="C15" s="15">
        <v>830</v>
      </c>
      <c r="D15" t="s">
        <v>25</v>
      </c>
      <c r="E15" t="s">
        <v>26</v>
      </c>
    </row>
    <row r="16" spans="1:5" x14ac:dyDescent="0.3">
      <c r="A16" t="s">
        <v>22</v>
      </c>
      <c r="B16" s="2">
        <v>45420</v>
      </c>
      <c r="C16" s="15">
        <v>337</v>
      </c>
      <c r="D16" t="s">
        <v>41</v>
      </c>
      <c r="E16" t="s">
        <v>43</v>
      </c>
    </row>
    <row r="17" spans="1:5" x14ac:dyDescent="0.3">
      <c r="A17" t="s">
        <v>22</v>
      </c>
      <c r="B17" s="24">
        <v>45419</v>
      </c>
      <c r="C17" s="25">
        <v>70</v>
      </c>
      <c r="D17" s="26" t="s">
        <v>27</v>
      </c>
      <c r="E17" s="26" t="s">
        <v>44</v>
      </c>
    </row>
    <row r="18" spans="1:5" x14ac:dyDescent="0.3">
      <c r="A18" t="s">
        <v>22</v>
      </c>
      <c r="B18" s="24">
        <v>45419</v>
      </c>
      <c r="C18" s="25">
        <v>418</v>
      </c>
      <c r="D18" s="26" t="s">
        <v>32</v>
      </c>
      <c r="E18" s="26" t="s">
        <v>45</v>
      </c>
    </row>
    <row r="19" spans="1:5" x14ac:dyDescent="0.3">
      <c r="A19" t="s">
        <v>22</v>
      </c>
      <c r="B19" s="2">
        <v>45419</v>
      </c>
      <c r="C19" s="15">
        <v>2000</v>
      </c>
      <c r="D19" t="s">
        <v>25</v>
      </c>
      <c r="E19" t="s">
        <v>26</v>
      </c>
    </row>
    <row r="20" spans="1:5" x14ac:dyDescent="0.3">
      <c r="A20" t="s">
        <v>22</v>
      </c>
      <c r="B20" s="24">
        <v>45417</v>
      </c>
      <c r="C20" s="25">
        <v>290</v>
      </c>
      <c r="D20" s="26" t="s">
        <v>27</v>
      </c>
      <c r="E20" s="26" t="s">
        <v>44</v>
      </c>
    </row>
    <row r="21" spans="1:5" x14ac:dyDescent="0.3">
      <c r="A21" t="s">
        <v>22</v>
      </c>
      <c r="B21" s="2">
        <v>45417</v>
      </c>
      <c r="C21" s="25">
        <v>840</v>
      </c>
      <c r="D21" s="26" t="s">
        <v>46</v>
      </c>
      <c r="E21" s="26" t="s">
        <v>47</v>
      </c>
    </row>
    <row r="22" spans="1:5" x14ac:dyDescent="0.3">
      <c r="A22" t="s">
        <v>22</v>
      </c>
      <c r="B22" s="2">
        <v>45407</v>
      </c>
      <c r="C22" s="15">
        <v>2000</v>
      </c>
      <c r="D22" t="s">
        <v>23</v>
      </c>
      <c r="E22" t="s">
        <v>24</v>
      </c>
    </row>
    <row r="23" spans="1:5" x14ac:dyDescent="0.3">
      <c r="A23" t="s">
        <v>22</v>
      </c>
      <c r="B23" s="2">
        <v>45404</v>
      </c>
      <c r="C23" s="15">
        <v>11170</v>
      </c>
      <c r="D23" t="s">
        <v>25</v>
      </c>
      <c r="E23" t="s">
        <v>26</v>
      </c>
    </row>
    <row r="24" spans="1:5" x14ac:dyDescent="0.3">
      <c r="A24" t="s">
        <v>22</v>
      </c>
      <c r="B24" s="2">
        <v>45401</v>
      </c>
      <c r="C24" s="15">
        <v>520</v>
      </c>
      <c r="D24" t="s">
        <v>27</v>
      </c>
      <c r="E24" t="s">
        <v>28</v>
      </c>
    </row>
    <row r="25" spans="1:5" x14ac:dyDescent="0.3">
      <c r="A25" t="s">
        <v>22</v>
      </c>
      <c r="B25" s="2">
        <v>45399</v>
      </c>
      <c r="C25" s="15">
        <v>500</v>
      </c>
      <c r="D25" t="s">
        <v>29</v>
      </c>
      <c r="E25" t="s">
        <v>30</v>
      </c>
    </row>
    <row r="26" spans="1:5" x14ac:dyDescent="0.3">
      <c r="A26" s="26" t="s">
        <v>22</v>
      </c>
      <c r="B26" s="24">
        <v>45399</v>
      </c>
      <c r="C26" s="25">
        <v>23000</v>
      </c>
      <c r="D26" s="26" t="s">
        <v>29</v>
      </c>
      <c r="E26" s="26" t="s">
        <v>31</v>
      </c>
    </row>
    <row r="27" spans="1:5" x14ac:dyDescent="0.3">
      <c r="A27" t="s">
        <v>22</v>
      </c>
      <c r="B27" s="2">
        <v>45397</v>
      </c>
      <c r="C27" s="15">
        <v>795</v>
      </c>
      <c r="D27" t="s">
        <v>32</v>
      </c>
      <c r="E27" t="s">
        <v>33</v>
      </c>
    </row>
    <row r="28" spans="1:5" x14ac:dyDescent="0.3">
      <c r="A28" t="s">
        <v>22</v>
      </c>
      <c r="B28" s="2">
        <v>45397</v>
      </c>
      <c r="C28" s="15">
        <v>1128</v>
      </c>
      <c r="D28" t="s">
        <v>32</v>
      </c>
      <c r="E28" t="s">
        <v>34</v>
      </c>
    </row>
    <row r="29" spans="1:5" x14ac:dyDescent="0.3">
      <c r="A29" s="26" t="s">
        <v>8</v>
      </c>
      <c r="B29" s="24">
        <v>45397</v>
      </c>
      <c r="C29" s="25">
        <v>60000</v>
      </c>
      <c r="D29" s="26" t="s">
        <v>35</v>
      </c>
      <c r="E29" s="26" t="s">
        <v>36</v>
      </c>
    </row>
    <row r="30" spans="1:5" x14ac:dyDescent="0.3">
      <c r="A30" s="26" t="s">
        <v>8</v>
      </c>
      <c r="B30" s="24">
        <v>45397</v>
      </c>
      <c r="C30" s="25">
        <v>40000</v>
      </c>
      <c r="D30" s="26" t="s">
        <v>35</v>
      </c>
      <c r="E30" s="26" t="s">
        <v>37</v>
      </c>
    </row>
    <row r="31" spans="1:5" x14ac:dyDescent="0.3">
      <c r="A31" s="26" t="s">
        <v>8</v>
      </c>
      <c r="B31" s="24">
        <v>45396</v>
      </c>
      <c r="C31" s="25">
        <v>3000</v>
      </c>
      <c r="D31" s="26" t="s">
        <v>35</v>
      </c>
      <c r="E31" s="26" t="s">
        <v>38</v>
      </c>
    </row>
    <row r="32" spans="1:5" x14ac:dyDescent="0.3">
      <c r="A32" t="s">
        <v>22</v>
      </c>
      <c r="B32" s="24">
        <v>45390</v>
      </c>
      <c r="C32" s="25">
        <v>2700</v>
      </c>
      <c r="D32" s="26" t="s">
        <v>39</v>
      </c>
      <c r="E32" s="26" t="s">
        <v>40</v>
      </c>
    </row>
    <row r="33" spans="1:5" x14ac:dyDescent="0.3">
      <c r="A33" t="s">
        <v>22</v>
      </c>
      <c r="B33" s="2">
        <v>45390</v>
      </c>
      <c r="C33" s="15">
        <v>110</v>
      </c>
      <c r="D33" t="s">
        <v>41</v>
      </c>
      <c r="E33" t="s">
        <v>42</v>
      </c>
    </row>
    <row r="34" spans="1:5" x14ac:dyDescent="0.3">
      <c r="A34" t="s">
        <v>22</v>
      </c>
      <c r="B34" s="2">
        <v>45390</v>
      </c>
      <c r="C34" s="15">
        <v>780</v>
      </c>
      <c r="D34" t="s">
        <v>41</v>
      </c>
      <c r="E34" t="s">
        <v>43</v>
      </c>
    </row>
    <row r="35" spans="1:5" x14ac:dyDescent="0.3">
      <c r="A35" t="s">
        <v>22</v>
      </c>
      <c r="B35" s="2">
        <v>45390</v>
      </c>
      <c r="C35" s="15">
        <v>830</v>
      </c>
      <c r="D35" t="s">
        <v>25</v>
      </c>
      <c r="E35" t="s">
        <v>26</v>
      </c>
    </row>
    <row r="36" spans="1:5" x14ac:dyDescent="0.3">
      <c r="A36" t="s">
        <v>22</v>
      </c>
      <c r="B36" s="2">
        <v>45390</v>
      </c>
      <c r="C36" s="15">
        <v>337</v>
      </c>
      <c r="D36" t="s">
        <v>41</v>
      </c>
      <c r="E36" t="s">
        <v>43</v>
      </c>
    </row>
    <row r="37" spans="1:5" x14ac:dyDescent="0.3">
      <c r="A37" t="s">
        <v>22</v>
      </c>
      <c r="B37" s="24">
        <v>45389</v>
      </c>
      <c r="C37" s="25">
        <v>70</v>
      </c>
      <c r="D37" s="26" t="s">
        <v>27</v>
      </c>
      <c r="E37" s="26" t="s">
        <v>44</v>
      </c>
    </row>
    <row r="38" spans="1:5" x14ac:dyDescent="0.3">
      <c r="A38" t="s">
        <v>22</v>
      </c>
      <c r="B38" s="24">
        <v>45389</v>
      </c>
      <c r="C38" s="25">
        <v>418</v>
      </c>
      <c r="D38" s="26" t="s">
        <v>32</v>
      </c>
      <c r="E38" s="26" t="s">
        <v>45</v>
      </c>
    </row>
    <row r="39" spans="1:5" x14ac:dyDescent="0.3">
      <c r="A39" t="s">
        <v>22</v>
      </c>
      <c r="B39" s="2">
        <v>45389</v>
      </c>
      <c r="C39" s="15">
        <v>2000</v>
      </c>
      <c r="D39" t="s">
        <v>25</v>
      </c>
      <c r="E39" t="s">
        <v>26</v>
      </c>
    </row>
    <row r="40" spans="1:5" x14ac:dyDescent="0.3">
      <c r="A40" t="s">
        <v>22</v>
      </c>
      <c r="B40" s="24">
        <v>45387</v>
      </c>
      <c r="C40" s="25">
        <v>290</v>
      </c>
      <c r="D40" s="26" t="s">
        <v>27</v>
      </c>
      <c r="E40" s="26" t="s">
        <v>44</v>
      </c>
    </row>
    <row r="41" spans="1:5" x14ac:dyDescent="0.3">
      <c r="A41" t="s">
        <v>22</v>
      </c>
      <c r="B41" s="2">
        <v>45387</v>
      </c>
      <c r="C41" s="25">
        <v>840</v>
      </c>
      <c r="D41" s="26" t="s">
        <v>46</v>
      </c>
      <c r="E41" s="26" t="s">
        <v>47</v>
      </c>
    </row>
    <row r="42" spans="1:5" x14ac:dyDescent="0.3">
      <c r="A42" s="26" t="s">
        <v>22</v>
      </c>
      <c r="B42" s="24">
        <v>45374</v>
      </c>
      <c r="C42" s="25">
        <v>700</v>
      </c>
      <c r="D42" s="26" t="s">
        <v>27</v>
      </c>
      <c r="E42" s="26" t="s">
        <v>44</v>
      </c>
    </row>
    <row r="43" spans="1:5" x14ac:dyDescent="0.3">
      <c r="A43" s="26" t="s">
        <v>22</v>
      </c>
      <c r="B43" s="24">
        <v>45372</v>
      </c>
      <c r="C43" s="25">
        <v>679</v>
      </c>
      <c r="D43" s="26" t="s">
        <v>29</v>
      </c>
      <c r="E43" s="26" t="s">
        <v>30</v>
      </c>
    </row>
    <row r="44" spans="1:5" x14ac:dyDescent="0.3">
      <c r="A44" s="26" t="s">
        <v>22</v>
      </c>
      <c r="B44" s="24">
        <v>45371</v>
      </c>
      <c r="C44" s="25">
        <v>647</v>
      </c>
      <c r="D44" s="26" t="s">
        <v>41</v>
      </c>
      <c r="E44" s="26" t="s">
        <v>42</v>
      </c>
    </row>
    <row r="45" spans="1:5" x14ac:dyDescent="0.3">
      <c r="A45" s="26" t="s">
        <v>22</v>
      </c>
      <c r="B45" s="24">
        <v>45369</v>
      </c>
      <c r="C45" s="25">
        <v>10000</v>
      </c>
      <c r="D45" s="26" t="s">
        <v>48</v>
      </c>
      <c r="E45" s="26"/>
    </row>
    <row r="46" spans="1:5" x14ac:dyDescent="0.3">
      <c r="A46" s="26" t="s">
        <v>22</v>
      </c>
      <c r="B46" s="24">
        <v>45368</v>
      </c>
      <c r="C46" s="25">
        <v>23000</v>
      </c>
      <c r="D46" s="26" t="s">
        <v>29</v>
      </c>
      <c r="E46" s="26" t="s">
        <v>31</v>
      </c>
    </row>
    <row r="47" spans="1:5" x14ac:dyDescent="0.3">
      <c r="A47" s="26" t="s">
        <v>8</v>
      </c>
      <c r="B47" s="24">
        <v>45366</v>
      </c>
      <c r="C47" s="25">
        <v>65000</v>
      </c>
      <c r="D47" s="26" t="s">
        <v>35</v>
      </c>
      <c r="E47" s="26" t="s">
        <v>36</v>
      </c>
    </row>
    <row r="48" spans="1:5" x14ac:dyDescent="0.3">
      <c r="A48" s="26" t="s">
        <v>8</v>
      </c>
      <c r="B48" s="24">
        <v>45366</v>
      </c>
      <c r="C48" s="25">
        <v>41000</v>
      </c>
      <c r="D48" s="26" t="s">
        <v>35</v>
      </c>
      <c r="E48" s="26" t="s">
        <v>37</v>
      </c>
    </row>
    <row r="49" spans="1:5" x14ac:dyDescent="0.3">
      <c r="A49" s="26" t="s">
        <v>8</v>
      </c>
      <c r="B49" s="24">
        <v>45365</v>
      </c>
      <c r="C49" s="25">
        <v>3000</v>
      </c>
      <c r="D49" s="26" t="s">
        <v>35</v>
      </c>
      <c r="E49" s="26" t="s">
        <v>38</v>
      </c>
    </row>
    <row r="50" spans="1:5" x14ac:dyDescent="0.3">
      <c r="A50" t="s">
        <v>22</v>
      </c>
      <c r="B50" s="24">
        <v>45363</v>
      </c>
      <c r="C50" s="25">
        <v>986</v>
      </c>
      <c r="D50" s="26" t="s">
        <v>49</v>
      </c>
      <c r="E50" t="s">
        <v>50</v>
      </c>
    </row>
    <row r="51" spans="1:5" x14ac:dyDescent="0.3">
      <c r="A51" t="s">
        <v>22</v>
      </c>
      <c r="B51" s="24">
        <v>45361</v>
      </c>
      <c r="C51" s="25">
        <v>2000</v>
      </c>
      <c r="D51" s="26" t="s">
        <v>51</v>
      </c>
      <c r="E51" s="26" t="s">
        <v>52</v>
      </c>
    </row>
    <row r="52" spans="1:5" x14ac:dyDescent="0.3">
      <c r="A52" t="s">
        <v>22</v>
      </c>
      <c r="B52" s="2">
        <v>45358</v>
      </c>
      <c r="C52" s="19">
        <v>1328</v>
      </c>
      <c r="D52" t="s">
        <v>53</v>
      </c>
      <c r="E52" t="s">
        <v>54</v>
      </c>
    </row>
    <row r="53" spans="1:5" x14ac:dyDescent="0.3">
      <c r="A53" t="s">
        <v>22</v>
      </c>
      <c r="B53" s="2">
        <v>45356</v>
      </c>
      <c r="C53" s="19">
        <v>1308</v>
      </c>
      <c r="D53" t="s">
        <v>46</v>
      </c>
      <c r="E53" t="s">
        <v>47</v>
      </c>
    </row>
    <row r="54" spans="1:5" x14ac:dyDescent="0.3">
      <c r="A54" t="s">
        <v>22</v>
      </c>
      <c r="B54" s="2">
        <v>45354</v>
      </c>
      <c r="C54" s="19">
        <v>13414</v>
      </c>
      <c r="D54" t="s">
        <v>25</v>
      </c>
      <c r="E54" t="s">
        <v>26</v>
      </c>
    </row>
    <row r="55" spans="1:5" x14ac:dyDescent="0.3">
      <c r="A55" s="26" t="s">
        <v>22</v>
      </c>
      <c r="B55" s="24">
        <v>45343</v>
      </c>
      <c r="C55" s="25">
        <v>750</v>
      </c>
      <c r="D55" s="26" t="s">
        <v>29</v>
      </c>
      <c r="E55" s="26" t="s">
        <v>30</v>
      </c>
    </row>
    <row r="56" spans="1:5" x14ac:dyDescent="0.3">
      <c r="A56" s="26" t="s">
        <v>22</v>
      </c>
      <c r="B56" s="24">
        <v>45342</v>
      </c>
      <c r="C56" s="25">
        <v>4927</v>
      </c>
      <c r="D56" s="26" t="s">
        <v>41</v>
      </c>
      <c r="E56" s="26" t="s">
        <v>42</v>
      </c>
    </row>
    <row r="57" spans="1:5" x14ac:dyDescent="0.3">
      <c r="A57" s="26" t="s">
        <v>22</v>
      </c>
      <c r="B57" s="24">
        <v>45340</v>
      </c>
      <c r="C57" s="25">
        <v>10000</v>
      </c>
      <c r="D57" s="26" t="s">
        <v>48</v>
      </c>
      <c r="E57" s="26"/>
    </row>
    <row r="58" spans="1:5" x14ac:dyDescent="0.3">
      <c r="A58" s="26" t="s">
        <v>22</v>
      </c>
      <c r="B58" s="24">
        <v>45339</v>
      </c>
      <c r="C58" s="25">
        <v>23000</v>
      </c>
      <c r="D58" s="26" t="s">
        <v>29</v>
      </c>
      <c r="E58" s="26" t="s">
        <v>31</v>
      </c>
    </row>
    <row r="59" spans="1:5" x14ac:dyDescent="0.3">
      <c r="A59" s="26" t="s">
        <v>8</v>
      </c>
      <c r="B59" s="24">
        <v>45337</v>
      </c>
      <c r="C59" s="25">
        <v>45000</v>
      </c>
      <c r="D59" s="26" t="s">
        <v>35</v>
      </c>
      <c r="E59" s="26" t="s">
        <v>36</v>
      </c>
    </row>
    <row r="60" spans="1:5" x14ac:dyDescent="0.3">
      <c r="A60" s="26" t="s">
        <v>8</v>
      </c>
      <c r="B60" s="24">
        <v>45337</v>
      </c>
      <c r="C60" s="25">
        <v>45000</v>
      </c>
      <c r="D60" s="26" t="s">
        <v>35</v>
      </c>
      <c r="E60" s="26" t="s">
        <v>37</v>
      </c>
    </row>
    <row r="61" spans="1:5" x14ac:dyDescent="0.3">
      <c r="A61" s="26" t="s">
        <v>8</v>
      </c>
      <c r="B61" s="24">
        <v>45336</v>
      </c>
      <c r="C61" s="25">
        <v>3300</v>
      </c>
      <c r="D61" s="26" t="s">
        <v>35</v>
      </c>
      <c r="E61" s="26" t="s">
        <v>38</v>
      </c>
    </row>
    <row r="62" spans="1:5" x14ac:dyDescent="0.3">
      <c r="A62" t="s">
        <v>22</v>
      </c>
      <c r="B62" s="2">
        <v>45329</v>
      </c>
      <c r="C62" s="19">
        <v>1083</v>
      </c>
      <c r="D62" t="s">
        <v>53</v>
      </c>
      <c r="E62" t="s">
        <v>54</v>
      </c>
    </row>
    <row r="63" spans="1:5" x14ac:dyDescent="0.3">
      <c r="A63" t="s">
        <v>22</v>
      </c>
      <c r="B63" s="2">
        <v>45327</v>
      </c>
      <c r="C63" s="19">
        <v>736</v>
      </c>
      <c r="D63" t="s">
        <v>46</v>
      </c>
      <c r="E63" t="s">
        <v>47</v>
      </c>
    </row>
    <row r="64" spans="1:5" x14ac:dyDescent="0.3">
      <c r="A64" t="s">
        <v>22</v>
      </c>
      <c r="B64" s="2">
        <v>45324</v>
      </c>
      <c r="C64" s="19">
        <v>9581</v>
      </c>
      <c r="D64" t="s">
        <v>25</v>
      </c>
      <c r="E64" t="s">
        <v>26</v>
      </c>
    </row>
    <row r="65" spans="1:5" x14ac:dyDescent="0.3">
      <c r="A65" s="26" t="s">
        <v>22</v>
      </c>
      <c r="B65" s="24">
        <v>45314</v>
      </c>
      <c r="C65" s="25">
        <v>14715</v>
      </c>
      <c r="D65" s="26" t="s">
        <v>55</v>
      </c>
      <c r="E65" s="26" t="s">
        <v>55</v>
      </c>
    </row>
    <row r="66" spans="1:5" x14ac:dyDescent="0.3">
      <c r="A66" s="26" t="s">
        <v>22</v>
      </c>
      <c r="B66" s="24">
        <v>45312</v>
      </c>
      <c r="C66" s="25">
        <v>1059</v>
      </c>
      <c r="D66" s="26" t="s">
        <v>29</v>
      </c>
      <c r="E66" s="26" t="s">
        <v>30</v>
      </c>
    </row>
    <row r="67" spans="1:5" x14ac:dyDescent="0.3">
      <c r="A67" s="26" t="s">
        <v>22</v>
      </c>
      <c r="B67" s="24">
        <v>45311</v>
      </c>
      <c r="C67" s="25">
        <v>2161</v>
      </c>
      <c r="D67" s="26" t="s">
        <v>41</v>
      </c>
      <c r="E67" s="26" t="s">
        <v>42</v>
      </c>
    </row>
    <row r="68" spans="1:5" x14ac:dyDescent="0.3">
      <c r="A68" s="26" t="s">
        <v>22</v>
      </c>
      <c r="B68" s="24">
        <v>45309</v>
      </c>
      <c r="C68" s="25">
        <v>10000</v>
      </c>
      <c r="D68" s="26" t="s">
        <v>48</v>
      </c>
      <c r="E68" s="26"/>
    </row>
    <row r="69" spans="1:5" x14ac:dyDescent="0.3">
      <c r="A69" s="26" t="s">
        <v>22</v>
      </c>
      <c r="B69" s="24">
        <v>45308</v>
      </c>
      <c r="C69" s="25">
        <v>23000</v>
      </c>
      <c r="D69" s="26" t="s">
        <v>29</v>
      </c>
      <c r="E69" s="26" t="s">
        <v>31</v>
      </c>
    </row>
    <row r="70" spans="1:5" x14ac:dyDescent="0.3">
      <c r="A70" s="26" t="s">
        <v>8</v>
      </c>
      <c r="B70" s="24">
        <v>45306</v>
      </c>
      <c r="C70" s="25">
        <v>45000</v>
      </c>
      <c r="D70" s="26" t="s">
        <v>35</v>
      </c>
      <c r="E70" s="26" t="s">
        <v>36</v>
      </c>
    </row>
    <row r="71" spans="1:5" x14ac:dyDescent="0.3">
      <c r="A71" s="26" t="s">
        <v>8</v>
      </c>
      <c r="B71" s="24">
        <v>45306</v>
      </c>
      <c r="C71" s="25">
        <v>45000</v>
      </c>
      <c r="D71" s="26" t="s">
        <v>35</v>
      </c>
      <c r="E71" s="26" t="s">
        <v>37</v>
      </c>
    </row>
    <row r="72" spans="1:5" x14ac:dyDescent="0.3">
      <c r="A72" s="26" t="s">
        <v>8</v>
      </c>
      <c r="B72" s="24">
        <v>45305</v>
      </c>
      <c r="C72" s="25">
        <v>3300</v>
      </c>
      <c r="D72" s="26" t="s">
        <v>35</v>
      </c>
      <c r="E72" s="26" t="s">
        <v>38</v>
      </c>
    </row>
    <row r="73" spans="1:5" x14ac:dyDescent="0.3">
      <c r="A73" t="s">
        <v>22</v>
      </c>
      <c r="B73" s="24">
        <v>45301</v>
      </c>
      <c r="C73" s="25">
        <v>3159</v>
      </c>
      <c r="D73" s="26" t="s">
        <v>51</v>
      </c>
      <c r="E73" s="26" t="s">
        <v>25</v>
      </c>
    </row>
    <row r="74" spans="1:5" x14ac:dyDescent="0.3">
      <c r="A74" t="s">
        <v>22</v>
      </c>
      <c r="B74" s="2">
        <v>45299</v>
      </c>
      <c r="C74" s="25">
        <v>877</v>
      </c>
      <c r="D74" s="26" t="s">
        <v>49</v>
      </c>
      <c r="E74" t="s">
        <v>50</v>
      </c>
    </row>
    <row r="75" spans="1:5" x14ac:dyDescent="0.3">
      <c r="A75" t="s">
        <v>22</v>
      </c>
      <c r="B75" s="2">
        <v>45298</v>
      </c>
      <c r="C75" s="19">
        <v>1311</v>
      </c>
      <c r="D75" t="s">
        <v>53</v>
      </c>
      <c r="E75" t="s">
        <v>54</v>
      </c>
    </row>
    <row r="76" spans="1:5" x14ac:dyDescent="0.3">
      <c r="A76" t="s">
        <v>22</v>
      </c>
      <c r="B76" s="2">
        <v>45296</v>
      </c>
      <c r="C76" s="19">
        <v>204</v>
      </c>
      <c r="D76" t="s">
        <v>46</v>
      </c>
      <c r="E76" t="s">
        <v>47</v>
      </c>
    </row>
    <row r="77" spans="1:5" x14ac:dyDescent="0.3">
      <c r="A77" t="s">
        <v>22</v>
      </c>
      <c r="B77" s="2">
        <v>45293</v>
      </c>
      <c r="C77" s="19">
        <v>9376</v>
      </c>
      <c r="D77" t="s">
        <v>25</v>
      </c>
      <c r="E77" t="s">
        <v>26</v>
      </c>
    </row>
  </sheetData>
  <sheetProtection selectLockedCells="1" selectUnlockedCells="1"/>
  <phoneticPr fontId="4" type="noConversion"/>
  <conditionalFormatting sqref="A1:E1048576">
    <cfRule type="expression" dxfId="14" priority="4">
      <formula>"Income"</formula>
    </cfRule>
  </conditionalFormatting>
  <pageMargins left="0.7" right="0.7" top="0.75" bottom="0.75" header="0.3" footer="0.3"/>
  <tableParts count="1">
    <tablePart r:id="rId1"/>
  </tablePart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434542A-8FE6-43D4-ADA0-173E13299968}">
  <sheetPr codeName="Sheet3"/>
  <dimension ref="A1:R37"/>
  <sheetViews>
    <sheetView zoomScaleNormal="100" workbookViewId="0">
      <selection activeCell="I20" sqref="I20:M20"/>
    </sheetView>
  </sheetViews>
  <sheetFormatPr defaultRowHeight="14.4" x14ac:dyDescent="0.3"/>
  <cols>
    <col min="1" max="1" width="19.44140625" customWidth="1"/>
    <col min="2" max="2" width="15.109375" customWidth="1"/>
    <col min="3" max="3" width="11.33203125" customWidth="1"/>
    <col min="4" max="4" width="11.44140625" bestFit="1" customWidth="1"/>
    <col min="5" max="5" width="12.5546875" customWidth="1"/>
    <col min="6" max="6" width="12.33203125" bestFit="1" customWidth="1"/>
    <col min="7" max="7" width="12.88671875" bestFit="1" customWidth="1"/>
    <col min="8" max="8" width="12.6640625" bestFit="1" customWidth="1"/>
    <col min="9" max="9" width="16.5546875" customWidth="1"/>
    <col min="10" max="10" width="12" customWidth="1"/>
    <col min="11" max="11" width="12.5546875" bestFit="1" customWidth="1"/>
    <col min="12" max="12" width="11.6640625" bestFit="1" customWidth="1"/>
    <col min="13" max="13" width="12.88671875" bestFit="1" customWidth="1"/>
    <col min="14" max="14" width="16.33203125" customWidth="1"/>
    <col min="17" max="17" width="12.109375" customWidth="1"/>
  </cols>
  <sheetData>
    <row r="1" spans="1:18" x14ac:dyDescent="0.3">
      <c r="A1" s="128" t="s">
        <v>22</v>
      </c>
      <c r="B1" s="128"/>
      <c r="C1" s="128"/>
      <c r="D1" s="128"/>
      <c r="E1" s="128"/>
      <c r="F1" s="128"/>
      <c r="G1" s="128"/>
      <c r="H1" s="128"/>
      <c r="I1" s="128"/>
      <c r="J1" s="128"/>
      <c r="K1" s="128"/>
      <c r="L1" s="128"/>
      <c r="M1" s="128"/>
      <c r="N1" s="128"/>
      <c r="O1" s="130" t="s">
        <v>8</v>
      </c>
      <c r="P1" s="131"/>
      <c r="Q1" s="131"/>
      <c r="R1" s="131"/>
    </row>
    <row r="2" spans="1:18" x14ac:dyDescent="0.3">
      <c r="A2" s="4" t="s">
        <v>56</v>
      </c>
      <c r="B2" s="4" t="s">
        <v>23</v>
      </c>
      <c r="C2" s="4" t="s">
        <v>29</v>
      </c>
      <c r="D2" s="4" t="s">
        <v>25</v>
      </c>
      <c r="E2" s="4" t="s">
        <v>32</v>
      </c>
      <c r="F2" s="4" t="s">
        <v>46</v>
      </c>
      <c r="G2" s="4" t="s">
        <v>27</v>
      </c>
      <c r="H2" s="4" t="s">
        <v>57</v>
      </c>
      <c r="I2" s="4" t="s">
        <v>51</v>
      </c>
      <c r="J2" s="4" t="s">
        <v>39</v>
      </c>
      <c r="K2" s="4" t="s">
        <v>58</v>
      </c>
      <c r="L2" s="4" t="s">
        <v>49</v>
      </c>
      <c r="M2" s="4" t="s">
        <v>41</v>
      </c>
      <c r="N2" s="4" t="s">
        <v>48</v>
      </c>
      <c r="O2" s="4" t="s">
        <v>35</v>
      </c>
      <c r="P2" s="4" t="s">
        <v>59</v>
      </c>
      <c r="Q2" s="4" t="s">
        <v>60</v>
      </c>
      <c r="R2" s="18" t="s">
        <v>61</v>
      </c>
    </row>
    <row r="3" spans="1:18" x14ac:dyDescent="0.3">
      <c r="A3" t="s">
        <v>62</v>
      </c>
      <c r="B3" t="s">
        <v>63</v>
      </c>
      <c r="C3" t="s">
        <v>64</v>
      </c>
      <c r="D3" t="s">
        <v>26</v>
      </c>
      <c r="E3" t="s">
        <v>34</v>
      </c>
      <c r="F3" t="s">
        <v>47</v>
      </c>
      <c r="G3" t="s">
        <v>28</v>
      </c>
      <c r="H3" t="s">
        <v>65</v>
      </c>
      <c r="I3" t="s">
        <v>25</v>
      </c>
      <c r="J3" t="s">
        <v>66</v>
      </c>
      <c r="K3" t="s">
        <v>67</v>
      </c>
      <c r="L3" t="s">
        <v>68</v>
      </c>
      <c r="M3" t="s">
        <v>42</v>
      </c>
      <c r="N3" t="s">
        <v>69</v>
      </c>
      <c r="O3" t="s">
        <v>36</v>
      </c>
    </row>
    <row r="4" spans="1:18" x14ac:dyDescent="0.3">
      <c r="A4" t="s">
        <v>70</v>
      </c>
      <c r="B4" t="s">
        <v>24</v>
      </c>
      <c r="C4" t="s">
        <v>71</v>
      </c>
      <c r="D4" t="s">
        <v>72</v>
      </c>
      <c r="E4" t="s">
        <v>33</v>
      </c>
      <c r="F4" t="s">
        <v>73</v>
      </c>
      <c r="G4" t="s">
        <v>74</v>
      </c>
      <c r="H4" t="s">
        <v>75</v>
      </c>
      <c r="I4" t="s">
        <v>52</v>
      </c>
      <c r="J4" t="s">
        <v>40</v>
      </c>
      <c r="K4" t="s">
        <v>76</v>
      </c>
      <c r="L4" t="s">
        <v>77</v>
      </c>
      <c r="M4" t="s">
        <v>78</v>
      </c>
      <c r="N4" t="s">
        <v>79</v>
      </c>
      <c r="O4" t="s">
        <v>37</v>
      </c>
    </row>
    <row r="5" spans="1:18" x14ac:dyDescent="0.3">
      <c r="A5" t="s">
        <v>54</v>
      </c>
      <c r="B5" t="s">
        <v>80</v>
      </c>
      <c r="C5" t="s">
        <v>81</v>
      </c>
      <c r="D5" t="s">
        <v>82</v>
      </c>
      <c r="E5" t="s">
        <v>83</v>
      </c>
      <c r="F5" t="s">
        <v>84</v>
      </c>
      <c r="G5" t="s">
        <v>85</v>
      </c>
      <c r="H5" t="s">
        <v>25</v>
      </c>
      <c r="I5" t="s">
        <v>86</v>
      </c>
      <c r="J5" t="s">
        <v>87</v>
      </c>
      <c r="K5" t="s">
        <v>88</v>
      </c>
      <c r="L5" t="s">
        <v>50</v>
      </c>
      <c r="M5" t="s">
        <v>89</v>
      </c>
      <c r="N5" t="s">
        <v>90</v>
      </c>
      <c r="O5" t="s">
        <v>38</v>
      </c>
    </row>
    <row r="6" spans="1:18" x14ac:dyDescent="0.3">
      <c r="A6" t="s">
        <v>91</v>
      </c>
      <c r="B6" t="s">
        <v>62</v>
      </c>
      <c r="C6" t="s">
        <v>92</v>
      </c>
      <c r="E6" t="s">
        <v>93</v>
      </c>
      <c r="G6" t="s">
        <v>94</v>
      </c>
      <c r="H6" t="s">
        <v>95</v>
      </c>
      <c r="I6" t="s">
        <v>96</v>
      </c>
      <c r="J6" t="s">
        <v>97</v>
      </c>
      <c r="K6" t="s">
        <v>98</v>
      </c>
      <c r="L6" t="s">
        <v>99</v>
      </c>
      <c r="M6" t="s">
        <v>100</v>
      </c>
    </row>
    <row r="7" spans="1:18" x14ac:dyDescent="0.3">
      <c r="A7" t="s">
        <v>101</v>
      </c>
      <c r="B7" t="s">
        <v>102</v>
      </c>
      <c r="C7" t="s">
        <v>30</v>
      </c>
      <c r="E7" t="s">
        <v>103</v>
      </c>
      <c r="G7" t="s">
        <v>104</v>
      </c>
      <c r="H7" t="s">
        <v>89</v>
      </c>
      <c r="I7" t="s">
        <v>105</v>
      </c>
      <c r="J7" t="s">
        <v>106</v>
      </c>
      <c r="M7" t="s">
        <v>43</v>
      </c>
    </row>
    <row r="8" spans="1:18" x14ac:dyDescent="0.3">
      <c r="A8" t="s">
        <v>107</v>
      </c>
      <c r="B8" t="s">
        <v>108</v>
      </c>
      <c r="C8" t="s">
        <v>109</v>
      </c>
      <c r="E8" t="s">
        <v>110</v>
      </c>
      <c r="G8" t="s">
        <v>111</v>
      </c>
      <c r="M8" t="s">
        <v>112</v>
      </c>
    </row>
    <row r="9" spans="1:18" x14ac:dyDescent="0.3">
      <c r="A9" t="s">
        <v>113</v>
      </c>
      <c r="C9" t="s">
        <v>31</v>
      </c>
      <c r="G9" t="s">
        <v>44</v>
      </c>
      <c r="M9" t="s">
        <v>55</v>
      </c>
    </row>
    <row r="10" spans="1:18" x14ac:dyDescent="0.3">
      <c r="C10" t="s">
        <v>114</v>
      </c>
    </row>
    <row r="13" spans="1:18" x14ac:dyDescent="0.3">
      <c r="A13" s="6"/>
      <c r="B13" s="6"/>
      <c r="C13" s="6"/>
      <c r="D13" s="6"/>
      <c r="E13" s="6"/>
      <c r="F13" s="6"/>
      <c r="G13" s="6"/>
      <c r="H13" s="6"/>
      <c r="I13" s="6"/>
      <c r="J13" s="6"/>
      <c r="K13" s="6"/>
      <c r="L13" s="6"/>
      <c r="M13" s="6"/>
      <c r="N13" s="6"/>
      <c r="O13" s="6"/>
      <c r="P13" s="6"/>
      <c r="Q13" s="6"/>
      <c r="R13" s="6"/>
    </row>
    <row r="14" spans="1:18" x14ac:dyDescent="0.3">
      <c r="A14" s="12" t="s">
        <v>8</v>
      </c>
      <c r="B14" s="12" t="s">
        <v>22</v>
      </c>
      <c r="F14" s="129" t="s">
        <v>115</v>
      </c>
      <c r="G14" s="129"/>
      <c r="L14" s="17"/>
      <c r="M14" s="3"/>
    </row>
    <row r="15" spans="1:18" x14ac:dyDescent="0.3">
      <c r="A15" s="5" t="s">
        <v>35</v>
      </c>
      <c r="B15" s="5" t="s">
        <v>53</v>
      </c>
      <c r="F15" s="7" t="s">
        <v>7</v>
      </c>
      <c r="G15" s="8">
        <f>Dashboard!D6</f>
        <v>0</v>
      </c>
    </row>
    <row r="16" spans="1:18" x14ac:dyDescent="0.3">
      <c r="A16" s="5" t="s">
        <v>59</v>
      </c>
      <c r="B16" s="5" t="s">
        <v>23</v>
      </c>
      <c r="F16" s="7" t="s">
        <v>9</v>
      </c>
      <c r="G16" s="9">
        <f>Dashboard!D8</f>
        <v>0</v>
      </c>
      <c r="H16" s="3"/>
    </row>
    <row r="17" spans="1:10" x14ac:dyDescent="0.3">
      <c r="A17" s="5" t="s">
        <v>60</v>
      </c>
      <c r="B17" s="5" t="s">
        <v>29</v>
      </c>
      <c r="F17" s="7" t="s">
        <v>12</v>
      </c>
      <c r="G17" s="16">
        <f>Dashboard!D10</f>
        <v>0</v>
      </c>
    </row>
    <row r="18" spans="1:10" x14ac:dyDescent="0.3">
      <c r="A18" s="5" t="s">
        <v>61</v>
      </c>
      <c r="B18" s="5" t="s">
        <v>25</v>
      </c>
      <c r="F18" s="7" t="s">
        <v>13</v>
      </c>
      <c r="G18" s="8">
        <f>Dashboard!D12</f>
        <v>0</v>
      </c>
    </row>
    <row r="19" spans="1:10" x14ac:dyDescent="0.3">
      <c r="B19" s="5" t="s">
        <v>32</v>
      </c>
      <c r="F19" s="7" t="s">
        <v>14</v>
      </c>
      <c r="G19" s="8">
        <f>Dashboard!D14</f>
        <v>0</v>
      </c>
    </row>
    <row r="20" spans="1:10" x14ac:dyDescent="0.3">
      <c r="B20" s="5" t="s">
        <v>46</v>
      </c>
      <c r="F20" s="7"/>
      <c r="G20" s="8"/>
    </row>
    <row r="21" spans="1:10" x14ac:dyDescent="0.3">
      <c r="B21" s="5" t="s">
        <v>27</v>
      </c>
    </row>
    <row r="22" spans="1:10" x14ac:dyDescent="0.3">
      <c r="B22" s="5" t="s">
        <v>57</v>
      </c>
    </row>
    <row r="23" spans="1:10" x14ac:dyDescent="0.3">
      <c r="B23" s="5" t="s">
        <v>116</v>
      </c>
      <c r="F23" s="8"/>
      <c r="G23" s="9"/>
      <c r="H23" s="16"/>
      <c r="I23" s="8"/>
      <c r="J23" s="8"/>
    </row>
    <row r="24" spans="1:10" x14ac:dyDescent="0.3">
      <c r="B24" s="5" t="s">
        <v>39</v>
      </c>
      <c r="F24" s="8"/>
    </row>
    <row r="25" spans="1:10" x14ac:dyDescent="0.3">
      <c r="B25" s="5" t="s">
        <v>58</v>
      </c>
      <c r="F25" s="8"/>
      <c r="G25" s="2"/>
      <c r="H25" s="15"/>
    </row>
    <row r="26" spans="1:10" x14ac:dyDescent="0.3">
      <c r="B26" s="5" t="s">
        <v>49</v>
      </c>
      <c r="F26" s="8"/>
      <c r="G26" s="8"/>
      <c r="I26" s="8"/>
      <c r="J26" s="8"/>
    </row>
    <row r="27" spans="1:10" x14ac:dyDescent="0.3">
      <c r="B27" s="5" t="s">
        <v>41</v>
      </c>
      <c r="F27" s="8"/>
    </row>
    <row r="28" spans="1:10" x14ac:dyDescent="0.3">
      <c r="B28" s="5" t="s">
        <v>48</v>
      </c>
      <c r="F28" s="8"/>
    </row>
    <row r="29" spans="1:10" x14ac:dyDescent="0.3">
      <c r="F29" s="8"/>
    </row>
    <row r="33" spans="1:10" x14ac:dyDescent="0.3">
      <c r="A33" s="28" t="s">
        <v>117</v>
      </c>
    </row>
    <row r="35" spans="1:10" ht="352.2" customHeight="1" x14ac:dyDescent="0.3">
      <c r="A35" s="105" t="s">
        <v>115</v>
      </c>
      <c r="B35" s="127" t="s">
        <v>118</v>
      </c>
      <c r="C35" s="127"/>
      <c r="D35" s="127"/>
      <c r="E35" s="127"/>
      <c r="F35" s="27"/>
      <c r="G35" s="27"/>
      <c r="H35" s="27"/>
      <c r="I35" s="27"/>
      <c r="J35" s="27"/>
    </row>
    <row r="37" spans="1:10" ht="380.4" customHeight="1" x14ac:dyDescent="0.3">
      <c r="A37" s="105" t="s">
        <v>119</v>
      </c>
      <c r="B37" s="127" t="s">
        <v>120</v>
      </c>
      <c r="C37" s="127"/>
      <c r="D37" s="127"/>
      <c r="E37" s="127"/>
    </row>
  </sheetData>
  <mergeCells count="5">
    <mergeCell ref="B37:E37"/>
    <mergeCell ref="A1:N1"/>
    <mergeCell ref="F14:G14"/>
    <mergeCell ref="O1:R1"/>
    <mergeCell ref="B35:E35"/>
  </mergeCells>
  <phoneticPr fontId="4" type="noConversion"/>
  <pageMargins left="0.7" right="0.7" top="0.75" bottom="0.75" header="0.3" footer="0.3"/>
  <pageSetup paperSize="9"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498421D-EE50-49FC-9BD6-E8FC681EB30F}">
  <sheetPr codeName="Sheet5"/>
  <dimension ref="A1:B108"/>
  <sheetViews>
    <sheetView workbookViewId="0">
      <selection activeCell="V9" sqref="V9"/>
    </sheetView>
  </sheetViews>
  <sheetFormatPr defaultRowHeight="14.4" x14ac:dyDescent="0.3"/>
  <cols>
    <col min="1" max="1" width="12.44140625" style="2" bestFit="1" customWidth="1"/>
    <col min="2" max="2" width="14.44140625" bestFit="1" customWidth="1"/>
    <col min="3" max="3" width="10" bestFit="1" customWidth="1"/>
    <col min="4" max="5" width="10.5546875" bestFit="1" customWidth="1"/>
    <col min="6" max="6" width="12" bestFit="1" customWidth="1"/>
    <col min="7" max="7" width="14.88671875" bestFit="1" customWidth="1"/>
    <col min="8" max="8" width="12" bestFit="1" customWidth="1"/>
    <col min="9" max="9" width="14.88671875" bestFit="1" customWidth="1"/>
    <col min="10" max="10" width="12" bestFit="1" customWidth="1"/>
    <col min="11" max="11" width="14.88671875" bestFit="1" customWidth="1"/>
    <col min="12" max="12" width="12" bestFit="1" customWidth="1"/>
    <col min="13" max="13" width="14.88671875" bestFit="1" customWidth="1"/>
    <col min="14" max="14" width="12" bestFit="1" customWidth="1"/>
    <col min="15" max="15" width="14.88671875" bestFit="1" customWidth="1"/>
    <col min="16" max="16" width="12" bestFit="1" customWidth="1"/>
    <col min="17" max="17" width="14.88671875" bestFit="1" customWidth="1"/>
    <col min="18" max="18" width="12" bestFit="1" customWidth="1"/>
    <col min="19" max="19" width="14.88671875" bestFit="1" customWidth="1"/>
    <col min="20" max="20" width="12" bestFit="1" customWidth="1"/>
    <col min="21" max="21" width="14.88671875" bestFit="1" customWidth="1"/>
    <col min="22" max="22" width="12" bestFit="1" customWidth="1"/>
    <col min="23" max="23" width="14.88671875" bestFit="1" customWidth="1"/>
    <col min="24" max="24" width="12" bestFit="1" customWidth="1"/>
    <col min="25" max="25" width="14.88671875" bestFit="1" customWidth="1"/>
    <col min="26" max="26" width="12" bestFit="1" customWidth="1"/>
    <col min="27" max="27" width="14.88671875" bestFit="1" customWidth="1"/>
    <col min="28" max="28" width="12" bestFit="1" customWidth="1"/>
    <col min="29" max="29" width="14.88671875" bestFit="1" customWidth="1"/>
    <col min="30" max="30" width="12" bestFit="1" customWidth="1"/>
    <col min="31" max="31" width="14.88671875" bestFit="1" customWidth="1"/>
    <col min="32" max="32" width="12" bestFit="1" customWidth="1"/>
    <col min="33" max="33" width="14.88671875" bestFit="1" customWidth="1"/>
    <col min="34" max="34" width="12" bestFit="1" customWidth="1"/>
    <col min="35" max="35" width="14.88671875" bestFit="1" customWidth="1"/>
    <col min="36" max="36" width="12" bestFit="1" customWidth="1"/>
    <col min="37" max="37" width="14.88671875" bestFit="1" customWidth="1"/>
    <col min="38" max="38" width="12" bestFit="1" customWidth="1"/>
    <col min="39" max="39" width="14.88671875" bestFit="1" customWidth="1"/>
    <col min="40" max="40" width="12" bestFit="1" customWidth="1"/>
    <col min="41" max="41" width="14.88671875" bestFit="1" customWidth="1"/>
    <col min="42" max="42" width="12" bestFit="1" customWidth="1"/>
    <col min="43" max="43" width="14.88671875" bestFit="1" customWidth="1"/>
    <col min="44" max="44" width="12" bestFit="1" customWidth="1"/>
    <col min="45" max="45" width="14.88671875" bestFit="1" customWidth="1"/>
    <col min="46" max="46" width="12" bestFit="1" customWidth="1"/>
    <col min="47" max="47" width="7.33203125" bestFit="1" customWidth="1"/>
    <col min="48" max="48" width="14.88671875" bestFit="1" customWidth="1"/>
    <col min="49" max="49" width="12" bestFit="1" customWidth="1"/>
    <col min="50" max="50" width="7.33203125" bestFit="1" customWidth="1"/>
    <col min="51" max="51" width="14.88671875" bestFit="1" customWidth="1"/>
    <col min="52" max="52" width="12" bestFit="1" customWidth="1"/>
    <col min="53" max="53" width="14.88671875" bestFit="1" customWidth="1"/>
    <col min="54" max="54" width="12" bestFit="1" customWidth="1"/>
    <col min="55" max="55" width="14.88671875" bestFit="1" customWidth="1"/>
    <col min="56" max="56" width="12" bestFit="1" customWidth="1"/>
    <col min="57" max="57" width="14.88671875" bestFit="1" customWidth="1"/>
    <col min="58" max="58" width="12" bestFit="1" customWidth="1"/>
    <col min="59" max="59" width="14.88671875" bestFit="1" customWidth="1"/>
    <col min="60" max="60" width="12" bestFit="1" customWidth="1"/>
    <col min="61" max="61" width="14.88671875" bestFit="1" customWidth="1"/>
    <col min="62" max="62" width="12" bestFit="1" customWidth="1"/>
    <col min="63" max="63" width="14.88671875" bestFit="1" customWidth="1"/>
    <col min="64" max="64" width="12" bestFit="1" customWidth="1"/>
    <col min="65" max="65" width="14.88671875" bestFit="1" customWidth="1"/>
    <col min="66" max="66" width="12" bestFit="1" customWidth="1"/>
    <col min="67" max="67" width="14.88671875" bestFit="1" customWidth="1"/>
    <col min="68" max="68" width="12" bestFit="1" customWidth="1"/>
    <col min="69" max="69" width="14.88671875" bestFit="1" customWidth="1"/>
    <col min="70" max="70" width="12" bestFit="1" customWidth="1"/>
    <col min="71" max="71" width="14.88671875" bestFit="1" customWidth="1"/>
    <col min="72" max="72" width="12" bestFit="1" customWidth="1"/>
    <col min="73" max="73" width="14.88671875" bestFit="1" customWidth="1"/>
    <col min="74" max="74" width="12" bestFit="1" customWidth="1"/>
    <col min="75" max="75" width="14.88671875" bestFit="1" customWidth="1"/>
    <col min="76" max="76" width="12" bestFit="1" customWidth="1"/>
    <col min="77" max="77" width="14.88671875" bestFit="1" customWidth="1"/>
    <col min="78" max="78" width="12" bestFit="1" customWidth="1"/>
    <col min="79" max="79" width="14.88671875" bestFit="1" customWidth="1"/>
    <col min="80" max="80" width="12" bestFit="1" customWidth="1"/>
    <col min="81" max="81" width="14.88671875" bestFit="1" customWidth="1"/>
    <col min="82" max="82" width="12" bestFit="1" customWidth="1"/>
    <col min="83" max="83" width="14.88671875" bestFit="1" customWidth="1"/>
    <col min="84" max="84" width="12" bestFit="1" customWidth="1"/>
    <col min="85" max="85" width="14.88671875" bestFit="1" customWidth="1"/>
    <col min="86" max="86" width="12" bestFit="1" customWidth="1"/>
    <col min="87" max="87" width="14.88671875" bestFit="1" customWidth="1"/>
    <col min="88" max="88" width="12" bestFit="1" customWidth="1"/>
    <col min="89" max="89" width="14.88671875" bestFit="1" customWidth="1"/>
    <col min="90" max="90" width="12" bestFit="1" customWidth="1"/>
    <col min="91" max="91" width="14.88671875" bestFit="1" customWidth="1"/>
    <col min="92" max="92" width="12" bestFit="1" customWidth="1"/>
    <col min="93" max="93" width="7.33203125" bestFit="1" customWidth="1"/>
    <col min="94" max="94" width="14.88671875" bestFit="1" customWidth="1"/>
    <col min="95" max="95" width="12" bestFit="1" customWidth="1"/>
    <col min="96" max="96" width="14.88671875" bestFit="1" customWidth="1"/>
    <col min="97" max="97" width="12" bestFit="1" customWidth="1"/>
    <col min="98" max="98" width="7.33203125" bestFit="1" customWidth="1"/>
    <col min="99" max="99" width="14.88671875" bestFit="1" customWidth="1"/>
    <col min="100" max="100" width="12" bestFit="1" customWidth="1"/>
    <col min="101" max="101" width="14.88671875" bestFit="1" customWidth="1"/>
    <col min="102" max="102" width="10.5546875" bestFit="1" customWidth="1"/>
    <col min="103" max="103" width="14.88671875" bestFit="1" customWidth="1"/>
    <col min="104" max="104" width="8.6640625" bestFit="1" customWidth="1"/>
    <col min="105" max="105" width="11.44140625" bestFit="1" customWidth="1"/>
    <col min="106" max="106" width="10.5546875" bestFit="1" customWidth="1"/>
  </cols>
  <sheetData>
    <row r="1" spans="1:2" x14ac:dyDescent="0.3">
      <c r="A1"/>
    </row>
    <row r="3" spans="1:2" ht="14.4" customHeight="1" x14ac:dyDescent="0.3">
      <c r="A3" s="10" t="s">
        <v>121</v>
      </c>
      <c r="B3" t="s">
        <v>122</v>
      </c>
    </row>
    <row r="4" spans="1:2" ht="14.4" customHeight="1" x14ac:dyDescent="0.3">
      <c r="A4" s="1" t="s">
        <v>22</v>
      </c>
      <c r="B4" s="15">
        <v>264977</v>
      </c>
    </row>
    <row r="5" spans="1:2" ht="14.4" customHeight="1" x14ac:dyDescent="0.3">
      <c r="A5" s="1" t="s">
        <v>8</v>
      </c>
      <c r="B5" s="15">
        <v>501600</v>
      </c>
    </row>
    <row r="6" spans="1:2" x14ac:dyDescent="0.3">
      <c r="A6" s="1" t="s">
        <v>123</v>
      </c>
      <c r="B6" s="15">
        <v>766577</v>
      </c>
    </row>
    <row r="7" spans="1:2" x14ac:dyDescent="0.3">
      <c r="A7"/>
    </row>
    <row r="8" spans="1:2" x14ac:dyDescent="0.3">
      <c r="A8"/>
    </row>
    <row r="9" spans="1:2" x14ac:dyDescent="0.3">
      <c r="A9"/>
    </row>
    <row r="10" spans="1:2" x14ac:dyDescent="0.3">
      <c r="A10"/>
    </row>
    <row r="11" spans="1:2" x14ac:dyDescent="0.3">
      <c r="A11"/>
    </row>
    <row r="12" spans="1:2" x14ac:dyDescent="0.3">
      <c r="A12"/>
    </row>
    <row r="13" spans="1:2" x14ac:dyDescent="0.3">
      <c r="A13"/>
    </row>
    <row r="14" spans="1:2" x14ac:dyDescent="0.3">
      <c r="A14"/>
    </row>
    <row r="15" spans="1:2" x14ac:dyDescent="0.3">
      <c r="A15"/>
    </row>
    <row r="16" spans="1:2" x14ac:dyDescent="0.3">
      <c r="A16"/>
    </row>
    <row r="17" spans="1:1" x14ac:dyDescent="0.3">
      <c r="A17"/>
    </row>
    <row r="18" spans="1:1" x14ac:dyDescent="0.3">
      <c r="A18"/>
    </row>
    <row r="19" spans="1:1" x14ac:dyDescent="0.3">
      <c r="A19"/>
    </row>
    <row r="20" spans="1:1" x14ac:dyDescent="0.3">
      <c r="A20"/>
    </row>
    <row r="21" spans="1:1" x14ac:dyDescent="0.3">
      <c r="A21"/>
    </row>
    <row r="22" spans="1:1" x14ac:dyDescent="0.3">
      <c r="A22"/>
    </row>
    <row r="23" spans="1:1" x14ac:dyDescent="0.3">
      <c r="A23"/>
    </row>
    <row r="24" spans="1:1" x14ac:dyDescent="0.3">
      <c r="A24"/>
    </row>
    <row r="25" spans="1:1" x14ac:dyDescent="0.3">
      <c r="A25"/>
    </row>
    <row r="26" spans="1:1" x14ac:dyDescent="0.3">
      <c r="A26"/>
    </row>
    <row r="27" spans="1:1" x14ac:dyDescent="0.3">
      <c r="A27"/>
    </row>
    <row r="28" spans="1:1" x14ac:dyDescent="0.3">
      <c r="A28"/>
    </row>
    <row r="29" spans="1:1" x14ac:dyDescent="0.3">
      <c r="A29"/>
    </row>
    <row r="30" spans="1:1" x14ac:dyDescent="0.3">
      <c r="A30"/>
    </row>
    <row r="31" spans="1:1" x14ac:dyDescent="0.3">
      <c r="A31"/>
    </row>
    <row r="32" spans="1:1" x14ac:dyDescent="0.3">
      <c r="A32"/>
    </row>
    <row r="33" spans="1:1" x14ac:dyDescent="0.3">
      <c r="A33"/>
    </row>
    <row r="34" spans="1:1" x14ac:dyDescent="0.3">
      <c r="A34"/>
    </row>
    <row r="35" spans="1:1" x14ac:dyDescent="0.3">
      <c r="A35"/>
    </row>
    <row r="36" spans="1:1" x14ac:dyDescent="0.3">
      <c r="A36"/>
    </row>
    <row r="37" spans="1:1" x14ac:dyDescent="0.3">
      <c r="A37"/>
    </row>
    <row r="38" spans="1:1" x14ac:dyDescent="0.3">
      <c r="A38"/>
    </row>
    <row r="39" spans="1:1" x14ac:dyDescent="0.3">
      <c r="A39"/>
    </row>
    <row r="40" spans="1:1" x14ac:dyDescent="0.3">
      <c r="A40"/>
    </row>
    <row r="41" spans="1:1" x14ac:dyDescent="0.3">
      <c r="A41"/>
    </row>
    <row r="42" spans="1:1" x14ac:dyDescent="0.3">
      <c r="A42"/>
    </row>
    <row r="43" spans="1:1" x14ac:dyDescent="0.3">
      <c r="A43"/>
    </row>
    <row r="44" spans="1:1" x14ac:dyDescent="0.3">
      <c r="A44"/>
    </row>
    <row r="45" spans="1:1" x14ac:dyDescent="0.3">
      <c r="A45"/>
    </row>
    <row r="46" spans="1:1" x14ac:dyDescent="0.3">
      <c r="A46"/>
    </row>
    <row r="47" spans="1:1" x14ac:dyDescent="0.3">
      <c r="A47"/>
    </row>
    <row r="48" spans="1:1" x14ac:dyDescent="0.3">
      <c r="A48"/>
    </row>
    <row r="49" spans="1:1" x14ac:dyDescent="0.3">
      <c r="A49"/>
    </row>
    <row r="50" spans="1:1" x14ac:dyDescent="0.3">
      <c r="A50"/>
    </row>
    <row r="51" spans="1:1" x14ac:dyDescent="0.3">
      <c r="A51"/>
    </row>
    <row r="52" spans="1:1" x14ac:dyDescent="0.3">
      <c r="A52"/>
    </row>
    <row r="53" spans="1:1" x14ac:dyDescent="0.3">
      <c r="A53"/>
    </row>
    <row r="54" spans="1:1" x14ac:dyDescent="0.3">
      <c r="A54"/>
    </row>
    <row r="55" spans="1:1" x14ac:dyDescent="0.3">
      <c r="A55"/>
    </row>
    <row r="56" spans="1:1" x14ac:dyDescent="0.3">
      <c r="A56"/>
    </row>
    <row r="57" spans="1:1" x14ac:dyDescent="0.3">
      <c r="A57"/>
    </row>
    <row r="58" spans="1:1" x14ac:dyDescent="0.3">
      <c r="A58"/>
    </row>
    <row r="59" spans="1:1" x14ac:dyDescent="0.3">
      <c r="A59"/>
    </row>
    <row r="60" spans="1:1" x14ac:dyDescent="0.3">
      <c r="A60"/>
    </row>
    <row r="61" spans="1:1" x14ac:dyDescent="0.3">
      <c r="A61"/>
    </row>
    <row r="62" spans="1:1" x14ac:dyDescent="0.3">
      <c r="A62"/>
    </row>
    <row r="63" spans="1:1" x14ac:dyDescent="0.3">
      <c r="A63"/>
    </row>
    <row r="64" spans="1:1" x14ac:dyDescent="0.3">
      <c r="A64"/>
    </row>
    <row r="65" spans="1:1" x14ac:dyDescent="0.3">
      <c r="A65"/>
    </row>
    <row r="66" spans="1:1" x14ac:dyDescent="0.3">
      <c r="A66"/>
    </row>
    <row r="67" spans="1:1" x14ac:dyDescent="0.3">
      <c r="A67"/>
    </row>
    <row r="68" spans="1:1" x14ac:dyDescent="0.3">
      <c r="A68"/>
    </row>
    <row r="69" spans="1:1" x14ac:dyDescent="0.3">
      <c r="A69"/>
    </row>
    <row r="70" spans="1:1" x14ac:dyDescent="0.3">
      <c r="A70"/>
    </row>
    <row r="71" spans="1:1" x14ac:dyDescent="0.3">
      <c r="A71"/>
    </row>
    <row r="72" spans="1:1" x14ac:dyDescent="0.3">
      <c r="A72"/>
    </row>
    <row r="73" spans="1:1" x14ac:dyDescent="0.3">
      <c r="A73"/>
    </row>
    <row r="74" spans="1:1" x14ac:dyDescent="0.3">
      <c r="A74"/>
    </row>
    <row r="75" spans="1:1" x14ac:dyDescent="0.3">
      <c r="A75"/>
    </row>
    <row r="76" spans="1:1" x14ac:dyDescent="0.3">
      <c r="A76"/>
    </row>
    <row r="77" spans="1:1" x14ac:dyDescent="0.3">
      <c r="A77"/>
    </row>
    <row r="78" spans="1:1" x14ac:dyDescent="0.3">
      <c r="A78"/>
    </row>
    <row r="79" spans="1:1" x14ac:dyDescent="0.3">
      <c r="A79"/>
    </row>
    <row r="80" spans="1:1" x14ac:dyDescent="0.3">
      <c r="A80"/>
    </row>
    <row r="81" spans="1:1" x14ac:dyDescent="0.3">
      <c r="A81"/>
    </row>
    <row r="82" spans="1:1" x14ac:dyDescent="0.3">
      <c r="A82"/>
    </row>
    <row r="83" spans="1:1" x14ac:dyDescent="0.3">
      <c r="A83"/>
    </row>
    <row r="84" spans="1:1" x14ac:dyDescent="0.3">
      <c r="A84"/>
    </row>
    <row r="85" spans="1:1" x14ac:dyDescent="0.3">
      <c r="A85"/>
    </row>
    <row r="86" spans="1:1" x14ac:dyDescent="0.3">
      <c r="A86"/>
    </row>
    <row r="87" spans="1:1" x14ac:dyDescent="0.3">
      <c r="A87"/>
    </row>
    <row r="88" spans="1:1" x14ac:dyDescent="0.3">
      <c r="A88"/>
    </row>
    <row r="89" spans="1:1" x14ac:dyDescent="0.3">
      <c r="A89"/>
    </row>
    <row r="90" spans="1:1" x14ac:dyDescent="0.3">
      <c r="A90"/>
    </row>
    <row r="91" spans="1:1" x14ac:dyDescent="0.3">
      <c r="A91"/>
    </row>
    <row r="92" spans="1:1" x14ac:dyDescent="0.3">
      <c r="A92"/>
    </row>
    <row r="93" spans="1:1" x14ac:dyDescent="0.3">
      <c r="A93"/>
    </row>
    <row r="94" spans="1:1" x14ac:dyDescent="0.3">
      <c r="A94"/>
    </row>
    <row r="95" spans="1:1" x14ac:dyDescent="0.3">
      <c r="A95"/>
    </row>
    <row r="96" spans="1:1" x14ac:dyDescent="0.3">
      <c r="A96"/>
    </row>
    <row r="97" spans="1:1" x14ac:dyDescent="0.3">
      <c r="A97"/>
    </row>
    <row r="98" spans="1:1" x14ac:dyDescent="0.3">
      <c r="A98"/>
    </row>
    <row r="99" spans="1:1" x14ac:dyDescent="0.3">
      <c r="A99"/>
    </row>
    <row r="100" spans="1:1" x14ac:dyDescent="0.3">
      <c r="A100"/>
    </row>
    <row r="101" spans="1:1" x14ac:dyDescent="0.3">
      <c r="A101"/>
    </row>
    <row r="102" spans="1:1" x14ac:dyDescent="0.3">
      <c r="A102"/>
    </row>
    <row r="103" spans="1:1" x14ac:dyDescent="0.3">
      <c r="A103"/>
    </row>
    <row r="104" spans="1:1" x14ac:dyDescent="0.3">
      <c r="A104"/>
    </row>
    <row r="105" spans="1:1" x14ac:dyDescent="0.3">
      <c r="A105"/>
    </row>
    <row r="106" spans="1:1" x14ac:dyDescent="0.3">
      <c r="A106"/>
    </row>
    <row r="107" spans="1:1" x14ac:dyDescent="0.3">
      <c r="A107"/>
    </row>
    <row r="108" spans="1:1" x14ac:dyDescent="0.3">
      <c r="A108"/>
    </row>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D2C86BA-A049-45FE-AD3C-3A429271F032}">
  <sheetPr codeName="Sheet4"/>
  <dimension ref="A1:D107"/>
  <sheetViews>
    <sheetView workbookViewId="0">
      <selection activeCell="H29" sqref="H29"/>
    </sheetView>
  </sheetViews>
  <sheetFormatPr defaultRowHeight="14.4" x14ac:dyDescent="0.3"/>
  <cols>
    <col min="1" max="1" width="14.44140625" style="2" bestFit="1" customWidth="1"/>
    <col min="2" max="2" width="15.5546875" bestFit="1" customWidth="1"/>
    <col min="3" max="3" width="10" bestFit="1" customWidth="1"/>
    <col min="4" max="4" width="10.5546875" bestFit="1" customWidth="1"/>
    <col min="5" max="5" width="12.109375" bestFit="1" customWidth="1"/>
    <col min="6" max="6" width="19" bestFit="1" customWidth="1"/>
    <col min="7" max="7" width="16.6640625" bestFit="1" customWidth="1"/>
    <col min="8" max="8" width="12" bestFit="1" customWidth="1"/>
    <col min="9" max="9" width="14.88671875" bestFit="1" customWidth="1"/>
    <col min="10" max="10" width="12" bestFit="1" customWidth="1"/>
    <col min="11" max="11" width="14.88671875" bestFit="1" customWidth="1"/>
    <col min="12" max="12" width="12" bestFit="1" customWidth="1"/>
    <col min="13" max="13" width="14.88671875" bestFit="1" customWidth="1"/>
    <col min="14" max="14" width="12" bestFit="1" customWidth="1"/>
    <col min="15" max="15" width="14.88671875" bestFit="1" customWidth="1"/>
    <col min="16" max="16" width="12" bestFit="1" customWidth="1"/>
    <col min="17" max="17" width="14.88671875" bestFit="1" customWidth="1"/>
    <col min="18" max="18" width="12" bestFit="1" customWidth="1"/>
    <col min="19" max="19" width="14.88671875" bestFit="1" customWidth="1"/>
    <col min="20" max="20" width="12" bestFit="1" customWidth="1"/>
    <col min="21" max="21" width="14.88671875" bestFit="1" customWidth="1"/>
    <col min="22" max="22" width="12" bestFit="1" customWidth="1"/>
    <col min="23" max="23" width="14.88671875" bestFit="1" customWidth="1"/>
    <col min="24" max="24" width="12" bestFit="1" customWidth="1"/>
    <col min="25" max="25" width="14.88671875" bestFit="1" customWidth="1"/>
    <col min="26" max="26" width="12" bestFit="1" customWidth="1"/>
    <col min="27" max="27" width="14.88671875" bestFit="1" customWidth="1"/>
    <col min="28" max="28" width="12" bestFit="1" customWidth="1"/>
    <col min="29" max="29" width="14.88671875" bestFit="1" customWidth="1"/>
    <col min="30" max="30" width="12" bestFit="1" customWidth="1"/>
    <col min="31" max="31" width="14.88671875" bestFit="1" customWidth="1"/>
    <col min="32" max="32" width="12" bestFit="1" customWidth="1"/>
    <col min="33" max="33" width="14.88671875" bestFit="1" customWidth="1"/>
    <col min="34" max="34" width="12" bestFit="1" customWidth="1"/>
    <col min="35" max="35" width="14.88671875" bestFit="1" customWidth="1"/>
    <col min="36" max="36" width="12" bestFit="1" customWidth="1"/>
    <col min="37" max="37" width="14.88671875" bestFit="1" customWidth="1"/>
    <col min="38" max="38" width="12" bestFit="1" customWidth="1"/>
    <col min="39" max="39" width="14.88671875" bestFit="1" customWidth="1"/>
    <col min="40" max="40" width="12" bestFit="1" customWidth="1"/>
    <col min="41" max="41" width="14.88671875" bestFit="1" customWidth="1"/>
    <col min="42" max="42" width="12" bestFit="1" customWidth="1"/>
    <col min="43" max="43" width="14.88671875" bestFit="1" customWidth="1"/>
    <col min="44" max="44" width="12" bestFit="1" customWidth="1"/>
    <col min="45" max="45" width="14.88671875" bestFit="1" customWidth="1"/>
    <col min="46" max="46" width="12" bestFit="1" customWidth="1"/>
    <col min="47" max="47" width="7.33203125" bestFit="1" customWidth="1"/>
    <col min="48" max="48" width="14.88671875" bestFit="1" customWidth="1"/>
    <col min="49" max="49" width="12" bestFit="1" customWidth="1"/>
    <col min="50" max="50" width="7.33203125" bestFit="1" customWidth="1"/>
    <col min="51" max="51" width="14.88671875" bestFit="1" customWidth="1"/>
    <col min="52" max="52" width="12" bestFit="1" customWidth="1"/>
    <col min="53" max="53" width="14.88671875" bestFit="1" customWidth="1"/>
    <col min="54" max="54" width="12" bestFit="1" customWidth="1"/>
    <col min="55" max="55" width="14.88671875" bestFit="1" customWidth="1"/>
    <col min="56" max="56" width="12" bestFit="1" customWidth="1"/>
    <col min="57" max="57" width="14.88671875" bestFit="1" customWidth="1"/>
    <col min="58" max="58" width="12" bestFit="1" customWidth="1"/>
    <col min="59" max="59" width="14.88671875" bestFit="1" customWidth="1"/>
    <col min="60" max="60" width="12" bestFit="1" customWidth="1"/>
    <col min="61" max="61" width="14.88671875" bestFit="1" customWidth="1"/>
    <col min="62" max="62" width="12" bestFit="1" customWidth="1"/>
    <col min="63" max="63" width="14.88671875" bestFit="1" customWidth="1"/>
    <col min="64" max="64" width="12" bestFit="1" customWidth="1"/>
    <col min="65" max="65" width="14.88671875" bestFit="1" customWidth="1"/>
    <col min="66" max="66" width="12" bestFit="1" customWidth="1"/>
    <col min="67" max="67" width="14.88671875" bestFit="1" customWidth="1"/>
    <col min="68" max="68" width="12" bestFit="1" customWidth="1"/>
    <col min="69" max="69" width="14.88671875" bestFit="1" customWidth="1"/>
    <col min="70" max="70" width="12" bestFit="1" customWidth="1"/>
    <col min="71" max="71" width="14.88671875" bestFit="1" customWidth="1"/>
    <col min="72" max="72" width="12" bestFit="1" customWidth="1"/>
    <col min="73" max="73" width="14.88671875" bestFit="1" customWidth="1"/>
    <col min="74" max="74" width="12" bestFit="1" customWidth="1"/>
    <col min="75" max="75" width="14.88671875" bestFit="1" customWidth="1"/>
    <col min="76" max="76" width="12" bestFit="1" customWidth="1"/>
    <col min="77" max="77" width="14.88671875" bestFit="1" customWidth="1"/>
    <col min="78" max="78" width="12" bestFit="1" customWidth="1"/>
    <col min="79" max="79" width="14.88671875" bestFit="1" customWidth="1"/>
    <col min="80" max="80" width="12" bestFit="1" customWidth="1"/>
    <col min="81" max="81" width="14.88671875" bestFit="1" customWidth="1"/>
    <col min="82" max="82" width="12" bestFit="1" customWidth="1"/>
    <col min="83" max="83" width="14.88671875" bestFit="1" customWidth="1"/>
    <col min="84" max="84" width="12" bestFit="1" customWidth="1"/>
    <col min="85" max="85" width="14.88671875" bestFit="1" customWidth="1"/>
    <col min="86" max="86" width="12" bestFit="1" customWidth="1"/>
    <col min="87" max="87" width="14.88671875" bestFit="1" customWidth="1"/>
    <col min="88" max="88" width="12" bestFit="1" customWidth="1"/>
    <col min="89" max="89" width="14.88671875" bestFit="1" customWidth="1"/>
    <col min="90" max="90" width="12" bestFit="1" customWidth="1"/>
    <col min="91" max="91" width="14.88671875" bestFit="1" customWidth="1"/>
    <col min="92" max="92" width="12" bestFit="1" customWidth="1"/>
    <col min="93" max="93" width="7.33203125" bestFit="1" customWidth="1"/>
    <col min="94" max="94" width="14.88671875" bestFit="1" customWidth="1"/>
    <col min="95" max="95" width="12" bestFit="1" customWidth="1"/>
    <col min="96" max="96" width="14.88671875" bestFit="1" customWidth="1"/>
    <col min="97" max="97" width="12" bestFit="1" customWidth="1"/>
    <col min="98" max="98" width="7.33203125" bestFit="1" customWidth="1"/>
    <col min="99" max="99" width="14.88671875" bestFit="1" customWidth="1"/>
    <col min="100" max="100" width="12" bestFit="1" customWidth="1"/>
    <col min="101" max="101" width="14.88671875" bestFit="1" customWidth="1"/>
    <col min="102" max="102" width="10.5546875" bestFit="1" customWidth="1"/>
    <col min="103" max="103" width="14.88671875" bestFit="1" customWidth="1"/>
    <col min="104" max="104" width="8.6640625" bestFit="1" customWidth="1"/>
    <col min="105" max="105" width="11.44140625" bestFit="1" customWidth="1"/>
    <col min="106" max="106" width="10.5546875" bestFit="1" customWidth="1"/>
  </cols>
  <sheetData>
    <row r="1" spans="1:4" x14ac:dyDescent="0.3">
      <c r="A1"/>
    </row>
    <row r="3" spans="1:4" ht="14.4" customHeight="1" x14ac:dyDescent="0.3">
      <c r="A3" s="10" t="s">
        <v>122</v>
      </c>
      <c r="B3" s="10" t="s">
        <v>124</v>
      </c>
    </row>
    <row r="4" spans="1:4" ht="14.4" customHeight="1" x14ac:dyDescent="0.3">
      <c r="A4" s="10" t="s">
        <v>121</v>
      </c>
      <c r="B4" t="s">
        <v>22</v>
      </c>
      <c r="C4" t="s">
        <v>8</v>
      </c>
      <c r="D4" t="s">
        <v>123</v>
      </c>
    </row>
    <row r="5" spans="1:4" ht="14.4" customHeight="1" x14ac:dyDescent="0.3">
      <c r="A5" s="1" t="s">
        <v>125</v>
      </c>
      <c r="B5" s="15">
        <v>65862</v>
      </c>
      <c r="C5" s="15">
        <v>93300</v>
      </c>
      <c r="D5" s="15">
        <v>159162</v>
      </c>
    </row>
    <row r="6" spans="1:4" x14ac:dyDescent="0.3">
      <c r="A6" s="1" t="s">
        <v>126</v>
      </c>
      <c r="B6" s="15">
        <v>50077</v>
      </c>
      <c r="C6" s="15">
        <v>93300</v>
      </c>
      <c r="D6" s="15">
        <v>143377</v>
      </c>
    </row>
    <row r="7" spans="1:4" x14ac:dyDescent="0.3">
      <c r="A7" s="1" t="s">
        <v>127</v>
      </c>
      <c r="B7" s="15">
        <v>54062</v>
      </c>
      <c r="C7" s="15">
        <v>109000</v>
      </c>
      <c r="D7" s="15">
        <v>163062</v>
      </c>
    </row>
    <row r="8" spans="1:4" x14ac:dyDescent="0.3">
      <c r="A8" s="1" t="s">
        <v>128</v>
      </c>
      <c r="B8" s="15">
        <v>47488</v>
      </c>
      <c r="C8" s="15">
        <v>103000</v>
      </c>
      <c r="D8" s="15">
        <v>150488</v>
      </c>
    </row>
    <row r="9" spans="1:4" x14ac:dyDescent="0.3">
      <c r="A9" s="1" t="s">
        <v>129</v>
      </c>
      <c r="B9" s="15">
        <v>47488</v>
      </c>
      <c r="C9" s="15">
        <v>103000</v>
      </c>
      <c r="D9" s="15">
        <v>150488</v>
      </c>
    </row>
    <row r="10" spans="1:4" x14ac:dyDescent="0.3">
      <c r="A10" s="1" t="s">
        <v>123</v>
      </c>
      <c r="B10" s="15">
        <v>264977</v>
      </c>
      <c r="C10" s="15">
        <v>501600</v>
      </c>
      <c r="D10" s="15">
        <v>766577</v>
      </c>
    </row>
    <row r="11" spans="1:4" x14ac:dyDescent="0.3">
      <c r="A11"/>
    </row>
    <row r="12" spans="1:4" x14ac:dyDescent="0.3">
      <c r="A12"/>
    </row>
    <row r="13" spans="1:4" x14ac:dyDescent="0.3">
      <c r="A13"/>
    </row>
    <row r="14" spans="1:4" x14ac:dyDescent="0.3">
      <c r="A14"/>
    </row>
    <row r="15" spans="1:4" x14ac:dyDescent="0.3">
      <c r="A15"/>
    </row>
    <row r="16" spans="1:4" x14ac:dyDescent="0.3">
      <c r="A16"/>
    </row>
    <row r="17" spans="1:3" x14ac:dyDescent="0.3">
      <c r="A17"/>
    </row>
    <row r="18" spans="1:3" x14ac:dyDescent="0.3">
      <c r="A18"/>
    </row>
    <row r="19" spans="1:3" x14ac:dyDescent="0.3">
      <c r="A19"/>
    </row>
    <row r="20" spans="1:3" x14ac:dyDescent="0.3">
      <c r="A20"/>
    </row>
    <row r="21" spans="1:3" x14ac:dyDescent="0.3">
      <c r="A21"/>
    </row>
    <row r="22" spans="1:3" x14ac:dyDescent="0.3">
      <c r="A22"/>
    </row>
    <row r="23" spans="1:3" x14ac:dyDescent="0.3">
      <c r="A23"/>
    </row>
    <row r="24" spans="1:3" x14ac:dyDescent="0.3">
      <c r="A24"/>
    </row>
    <row r="25" spans="1:3" x14ac:dyDescent="0.3">
      <c r="A25"/>
      <c r="C25" t="s">
        <v>130</v>
      </c>
    </row>
    <row r="26" spans="1:3" x14ac:dyDescent="0.3">
      <c r="A26"/>
    </row>
    <row r="27" spans="1:3" x14ac:dyDescent="0.3">
      <c r="A27"/>
    </row>
    <row r="28" spans="1:3" x14ac:dyDescent="0.3">
      <c r="A28"/>
    </row>
    <row r="29" spans="1:3" x14ac:dyDescent="0.3">
      <c r="A29"/>
    </row>
    <row r="30" spans="1:3" x14ac:dyDescent="0.3">
      <c r="A30"/>
    </row>
    <row r="31" spans="1:3" x14ac:dyDescent="0.3">
      <c r="A31"/>
    </row>
    <row r="32" spans="1:3" x14ac:dyDescent="0.3">
      <c r="A32"/>
    </row>
    <row r="33" spans="1:1" x14ac:dyDescent="0.3">
      <c r="A33"/>
    </row>
    <row r="34" spans="1:1" x14ac:dyDescent="0.3">
      <c r="A34"/>
    </row>
    <row r="35" spans="1:1" x14ac:dyDescent="0.3">
      <c r="A35"/>
    </row>
    <row r="36" spans="1:1" x14ac:dyDescent="0.3">
      <c r="A36"/>
    </row>
    <row r="37" spans="1:1" x14ac:dyDescent="0.3">
      <c r="A37"/>
    </row>
    <row r="38" spans="1:1" x14ac:dyDescent="0.3">
      <c r="A38"/>
    </row>
    <row r="39" spans="1:1" x14ac:dyDescent="0.3">
      <c r="A39"/>
    </row>
    <row r="40" spans="1:1" x14ac:dyDescent="0.3">
      <c r="A40"/>
    </row>
    <row r="41" spans="1:1" x14ac:dyDescent="0.3">
      <c r="A41"/>
    </row>
    <row r="42" spans="1:1" x14ac:dyDescent="0.3">
      <c r="A42"/>
    </row>
    <row r="43" spans="1:1" x14ac:dyDescent="0.3">
      <c r="A43"/>
    </row>
    <row r="44" spans="1:1" x14ac:dyDescent="0.3">
      <c r="A44"/>
    </row>
    <row r="45" spans="1:1" x14ac:dyDescent="0.3">
      <c r="A45"/>
    </row>
    <row r="46" spans="1:1" x14ac:dyDescent="0.3">
      <c r="A46"/>
    </row>
    <row r="47" spans="1:1" x14ac:dyDescent="0.3">
      <c r="A47"/>
    </row>
    <row r="48" spans="1:1" x14ac:dyDescent="0.3">
      <c r="A48"/>
    </row>
    <row r="49" spans="1:1" x14ac:dyDescent="0.3">
      <c r="A49"/>
    </row>
    <row r="50" spans="1:1" x14ac:dyDescent="0.3">
      <c r="A50"/>
    </row>
    <row r="51" spans="1:1" x14ac:dyDescent="0.3">
      <c r="A51"/>
    </row>
    <row r="52" spans="1:1" x14ac:dyDescent="0.3">
      <c r="A52"/>
    </row>
    <row r="53" spans="1:1" x14ac:dyDescent="0.3">
      <c r="A53"/>
    </row>
    <row r="54" spans="1:1" x14ac:dyDescent="0.3">
      <c r="A54"/>
    </row>
    <row r="55" spans="1:1" x14ac:dyDescent="0.3">
      <c r="A55"/>
    </row>
    <row r="56" spans="1:1" x14ac:dyDescent="0.3">
      <c r="A56"/>
    </row>
    <row r="57" spans="1:1" x14ac:dyDescent="0.3">
      <c r="A57"/>
    </row>
    <row r="58" spans="1:1" x14ac:dyDescent="0.3">
      <c r="A58"/>
    </row>
    <row r="59" spans="1:1" x14ac:dyDescent="0.3">
      <c r="A59"/>
    </row>
    <row r="60" spans="1:1" x14ac:dyDescent="0.3">
      <c r="A60"/>
    </row>
    <row r="61" spans="1:1" x14ac:dyDescent="0.3">
      <c r="A61"/>
    </row>
    <row r="62" spans="1:1" x14ac:dyDescent="0.3">
      <c r="A62"/>
    </row>
    <row r="63" spans="1:1" x14ac:dyDescent="0.3">
      <c r="A63"/>
    </row>
    <row r="64" spans="1:1" x14ac:dyDescent="0.3">
      <c r="A64"/>
    </row>
    <row r="65" spans="1:1" x14ac:dyDescent="0.3">
      <c r="A65"/>
    </row>
    <row r="66" spans="1:1" x14ac:dyDescent="0.3">
      <c r="A66"/>
    </row>
    <row r="67" spans="1:1" x14ac:dyDescent="0.3">
      <c r="A67"/>
    </row>
    <row r="68" spans="1:1" x14ac:dyDescent="0.3">
      <c r="A68"/>
    </row>
    <row r="69" spans="1:1" x14ac:dyDescent="0.3">
      <c r="A69"/>
    </row>
    <row r="70" spans="1:1" x14ac:dyDescent="0.3">
      <c r="A70"/>
    </row>
    <row r="71" spans="1:1" x14ac:dyDescent="0.3">
      <c r="A71"/>
    </row>
    <row r="72" spans="1:1" x14ac:dyDescent="0.3">
      <c r="A72"/>
    </row>
    <row r="73" spans="1:1" x14ac:dyDescent="0.3">
      <c r="A73"/>
    </row>
    <row r="74" spans="1:1" x14ac:dyDescent="0.3">
      <c r="A74"/>
    </row>
    <row r="75" spans="1:1" x14ac:dyDescent="0.3">
      <c r="A75"/>
    </row>
    <row r="76" spans="1:1" x14ac:dyDescent="0.3">
      <c r="A76"/>
    </row>
    <row r="77" spans="1:1" x14ac:dyDescent="0.3">
      <c r="A77"/>
    </row>
    <row r="78" spans="1:1" x14ac:dyDescent="0.3">
      <c r="A78"/>
    </row>
    <row r="79" spans="1:1" x14ac:dyDescent="0.3">
      <c r="A79"/>
    </row>
    <row r="80" spans="1:1" x14ac:dyDescent="0.3">
      <c r="A80"/>
    </row>
    <row r="81" spans="1:1" x14ac:dyDescent="0.3">
      <c r="A81"/>
    </row>
    <row r="82" spans="1:1" x14ac:dyDescent="0.3">
      <c r="A82"/>
    </row>
    <row r="83" spans="1:1" x14ac:dyDescent="0.3">
      <c r="A83"/>
    </row>
    <row r="84" spans="1:1" x14ac:dyDescent="0.3">
      <c r="A84"/>
    </row>
    <row r="85" spans="1:1" x14ac:dyDescent="0.3">
      <c r="A85"/>
    </row>
    <row r="86" spans="1:1" x14ac:dyDescent="0.3">
      <c r="A86"/>
    </row>
    <row r="87" spans="1:1" x14ac:dyDescent="0.3">
      <c r="A87"/>
    </row>
    <row r="88" spans="1:1" x14ac:dyDescent="0.3">
      <c r="A88"/>
    </row>
    <row r="89" spans="1:1" x14ac:dyDescent="0.3">
      <c r="A89"/>
    </row>
    <row r="90" spans="1:1" x14ac:dyDescent="0.3">
      <c r="A90"/>
    </row>
    <row r="91" spans="1:1" x14ac:dyDescent="0.3">
      <c r="A91"/>
    </row>
    <row r="92" spans="1:1" x14ac:dyDescent="0.3">
      <c r="A92"/>
    </row>
    <row r="93" spans="1:1" x14ac:dyDescent="0.3">
      <c r="A93"/>
    </row>
    <row r="94" spans="1:1" x14ac:dyDescent="0.3">
      <c r="A94"/>
    </row>
    <row r="95" spans="1:1" x14ac:dyDescent="0.3">
      <c r="A95"/>
    </row>
    <row r="96" spans="1:1" x14ac:dyDescent="0.3">
      <c r="A96"/>
    </row>
    <row r="97" spans="1:1" x14ac:dyDescent="0.3">
      <c r="A97"/>
    </row>
    <row r="98" spans="1:1" x14ac:dyDescent="0.3">
      <c r="A98"/>
    </row>
    <row r="99" spans="1:1" x14ac:dyDescent="0.3">
      <c r="A99"/>
    </row>
    <row r="100" spans="1:1" x14ac:dyDescent="0.3">
      <c r="A100"/>
    </row>
    <row r="101" spans="1:1" x14ac:dyDescent="0.3">
      <c r="A101"/>
    </row>
    <row r="102" spans="1:1" x14ac:dyDescent="0.3">
      <c r="A102"/>
    </row>
    <row r="103" spans="1:1" x14ac:dyDescent="0.3">
      <c r="A103"/>
    </row>
    <row r="104" spans="1:1" x14ac:dyDescent="0.3">
      <c r="A104"/>
    </row>
    <row r="105" spans="1:1" x14ac:dyDescent="0.3">
      <c r="A105"/>
    </row>
    <row r="106" spans="1:1" x14ac:dyDescent="0.3">
      <c r="A106"/>
    </row>
    <row r="107" spans="1:1" x14ac:dyDescent="0.3">
      <c r="A107"/>
    </row>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97A7531-DA6B-4103-AAD8-51EB3C7C10E8}">
  <sheetPr codeName="Sheet8"/>
  <dimension ref="A2:C11"/>
  <sheetViews>
    <sheetView workbookViewId="0">
      <selection activeCell="D6" sqref="D6:E6"/>
    </sheetView>
  </sheetViews>
  <sheetFormatPr defaultRowHeight="14.4" x14ac:dyDescent="0.3"/>
  <cols>
    <col min="1" max="1" width="14.44140625" bestFit="1" customWidth="1"/>
    <col min="2" max="2" width="15.5546875" bestFit="1" customWidth="1"/>
    <col min="3" max="4" width="10.5546875" bestFit="1" customWidth="1"/>
    <col min="5" max="24" width="18.33203125" bestFit="1" customWidth="1"/>
    <col min="25" max="25" width="19" bestFit="1" customWidth="1"/>
    <col min="26" max="26" width="22.88671875" bestFit="1" customWidth="1"/>
    <col min="27" max="49" width="10.33203125" bestFit="1" customWidth="1"/>
    <col min="50" max="50" width="10.5546875" bestFit="1" customWidth="1"/>
  </cols>
  <sheetData>
    <row r="2" spans="1:3" x14ac:dyDescent="0.3">
      <c r="A2" s="10" t="s">
        <v>17</v>
      </c>
      <c r="B2" t="s">
        <v>22</v>
      </c>
    </row>
    <row r="4" spans="1:3" x14ac:dyDescent="0.3">
      <c r="A4" s="10" t="s">
        <v>122</v>
      </c>
      <c r="B4" s="10" t="s">
        <v>124</v>
      </c>
    </row>
    <row r="5" spans="1:3" x14ac:dyDescent="0.3">
      <c r="A5" s="10" t="s">
        <v>121</v>
      </c>
      <c r="B5" t="s">
        <v>25</v>
      </c>
      <c r="C5" t="s">
        <v>123</v>
      </c>
    </row>
    <row r="6" spans="1:3" x14ac:dyDescent="0.3">
      <c r="A6" s="1" t="s">
        <v>125</v>
      </c>
      <c r="B6" s="15">
        <v>9376</v>
      </c>
      <c r="C6" s="15">
        <v>9376</v>
      </c>
    </row>
    <row r="7" spans="1:3" x14ac:dyDescent="0.3">
      <c r="A7" s="1" t="s">
        <v>126</v>
      </c>
      <c r="B7" s="15">
        <v>9581</v>
      </c>
      <c r="C7" s="15">
        <v>9581</v>
      </c>
    </row>
    <row r="8" spans="1:3" x14ac:dyDescent="0.3">
      <c r="A8" s="1" t="s">
        <v>127</v>
      </c>
      <c r="B8" s="15">
        <v>13414</v>
      </c>
      <c r="C8" s="15">
        <v>13414</v>
      </c>
    </row>
    <row r="9" spans="1:3" x14ac:dyDescent="0.3">
      <c r="A9" s="1" t="s">
        <v>128</v>
      </c>
      <c r="B9" s="15">
        <v>14000</v>
      </c>
      <c r="C9" s="15">
        <v>14000</v>
      </c>
    </row>
    <row r="10" spans="1:3" x14ac:dyDescent="0.3">
      <c r="A10" s="1" t="s">
        <v>129</v>
      </c>
      <c r="B10" s="15">
        <v>14000</v>
      </c>
      <c r="C10" s="15">
        <v>14000</v>
      </c>
    </row>
    <row r="11" spans="1:3" ht="15.6" customHeight="1" x14ac:dyDescent="0.3">
      <c r="A11" s="1" t="s">
        <v>123</v>
      </c>
      <c r="B11" s="15">
        <v>60371</v>
      </c>
      <c r="C11" s="15">
        <v>60371</v>
      </c>
    </row>
  </sheetData>
  <pageMargins left="0.7" right="0.7" top="0.75" bottom="0.75" header="0.3" footer="0.3"/>
  <drawing r:id="rId2"/>
  <extLst>
    <ext xmlns:x14="http://schemas.microsoft.com/office/spreadsheetml/2009/9/main" uri="{A8765BA9-456A-4dab-B4F3-ACF838C121DE}">
      <x14:slicerList>
        <x14:slicer r:id="rId3"/>
      </x14:slicerList>
    </ext>
  </extLs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9EEC77E-AC7B-4D34-AEC4-6FC51A6552A2}">
  <sheetPr codeName="Sheet6"/>
  <dimension ref="A2:B15"/>
  <sheetViews>
    <sheetView workbookViewId="0">
      <selection activeCell="D6" sqref="D6:E6"/>
    </sheetView>
  </sheetViews>
  <sheetFormatPr defaultRowHeight="14.4" x14ac:dyDescent="0.3"/>
  <cols>
    <col min="1" max="1" width="13.6640625" bestFit="1" customWidth="1"/>
    <col min="2" max="2" width="15.6640625" bestFit="1" customWidth="1"/>
    <col min="3" max="3" width="10.5546875" bestFit="1" customWidth="1"/>
    <col min="4" max="12" width="10.33203125" bestFit="1" customWidth="1"/>
    <col min="13" max="13" width="10.5546875" bestFit="1" customWidth="1"/>
    <col min="14" max="14" width="12.88671875" bestFit="1" customWidth="1"/>
    <col min="15" max="15" width="15.6640625" bestFit="1" customWidth="1"/>
    <col min="16" max="20" width="10.33203125" bestFit="1" customWidth="1"/>
    <col min="21" max="21" width="12.109375" bestFit="1" customWidth="1"/>
    <col min="22" max="22" width="10.5546875" bestFit="1" customWidth="1"/>
    <col min="23" max="38" width="10.33203125" bestFit="1" customWidth="1"/>
    <col min="39" max="39" width="11.33203125" bestFit="1" customWidth="1"/>
    <col min="40" max="40" width="12" bestFit="1" customWidth="1"/>
    <col min="41" max="41" width="14.88671875" bestFit="1" customWidth="1"/>
    <col min="42" max="42" width="12" bestFit="1" customWidth="1"/>
    <col min="43" max="43" width="14.88671875" bestFit="1" customWidth="1"/>
    <col min="44" max="44" width="12" bestFit="1" customWidth="1"/>
    <col min="45" max="45" width="14.88671875" bestFit="1" customWidth="1"/>
    <col min="46" max="46" width="12" bestFit="1" customWidth="1"/>
    <col min="47" max="47" width="14.88671875" bestFit="1" customWidth="1"/>
    <col min="48" max="48" width="12" bestFit="1" customWidth="1"/>
    <col min="49" max="49" width="14.88671875" bestFit="1" customWidth="1"/>
    <col min="50" max="50" width="12" bestFit="1" customWidth="1"/>
    <col min="51" max="51" width="14.88671875" bestFit="1" customWidth="1"/>
    <col min="52" max="52" width="12" bestFit="1" customWidth="1"/>
    <col min="53" max="53" width="14.88671875" bestFit="1" customWidth="1"/>
    <col min="54" max="54" width="12" bestFit="1" customWidth="1"/>
    <col min="55" max="55" width="14.88671875" bestFit="1" customWidth="1"/>
    <col min="56" max="56" width="12" bestFit="1" customWidth="1"/>
    <col min="57" max="57" width="14.88671875" bestFit="1" customWidth="1"/>
    <col min="58" max="58" width="12" bestFit="1" customWidth="1"/>
    <col min="59" max="59" width="14.88671875" bestFit="1" customWidth="1"/>
    <col min="60" max="60" width="12" bestFit="1" customWidth="1"/>
    <col min="61" max="61" width="14.88671875" bestFit="1" customWidth="1"/>
    <col min="62" max="62" width="12" bestFit="1" customWidth="1"/>
    <col min="63" max="63" width="14.88671875" bestFit="1" customWidth="1"/>
    <col min="64" max="64" width="12" bestFit="1" customWidth="1"/>
    <col min="65" max="65" width="14.88671875" bestFit="1" customWidth="1"/>
    <col min="66" max="66" width="12" bestFit="1" customWidth="1"/>
    <col min="67" max="67" width="14.88671875" bestFit="1" customWidth="1"/>
    <col min="68" max="68" width="12" bestFit="1" customWidth="1"/>
    <col min="69" max="69" width="14.88671875" bestFit="1" customWidth="1"/>
    <col min="70" max="70" width="12" bestFit="1" customWidth="1"/>
    <col min="71" max="71" width="14.88671875" bestFit="1" customWidth="1"/>
    <col min="72" max="72" width="12" bestFit="1" customWidth="1"/>
    <col min="73" max="73" width="14.88671875" bestFit="1" customWidth="1"/>
    <col min="74" max="74" width="12" bestFit="1" customWidth="1"/>
    <col min="75" max="75" width="14.88671875" bestFit="1" customWidth="1"/>
    <col min="76" max="76" width="11.33203125" bestFit="1" customWidth="1"/>
    <col min="77" max="77" width="11.44140625" bestFit="1" customWidth="1"/>
    <col min="78" max="78" width="11.33203125" bestFit="1" customWidth="1"/>
    <col min="79" max="79" width="14.88671875" bestFit="1" customWidth="1"/>
    <col min="80" max="80" width="12" bestFit="1" customWidth="1"/>
    <col min="81" max="81" width="9.5546875" bestFit="1" customWidth="1"/>
    <col min="82" max="82" width="7.6640625" bestFit="1" customWidth="1"/>
    <col min="83" max="83" width="9.44140625" bestFit="1" customWidth="1"/>
    <col min="84" max="84" width="14.88671875" bestFit="1" customWidth="1"/>
    <col min="85" max="85" width="12" bestFit="1" customWidth="1"/>
    <col min="86" max="86" width="10.33203125" bestFit="1" customWidth="1"/>
    <col min="87" max="87" width="14.88671875" bestFit="1" customWidth="1"/>
    <col min="88" max="88" width="12" bestFit="1" customWidth="1"/>
    <col min="89" max="89" width="10.6640625" bestFit="1" customWidth="1"/>
    <col min="90" max="90" width="14.88671875" bestFit="1" customWidth="1"/>
    <col min="91" max="91" width="12" bestFit="1" customWidth="1"/>
    <col min="92" max="92" width="12.109375" bestFit="1" customWidth="1"/>
    <col min="93" max="93" width="14.88671875" bestFit="1" customWidth="1"/>
    <col min="94" max="94" width="12" bestFit="1" customWidth="1"/>
    <col min="95" max="95" width="9.33203125" bestFit="1" customWidth="1"/>
    <col min="96" max="96" width="14.88671875" bestFit="1" customWidth="1"/>
    <col min="97" max="97" width="12" bestFit="1" customWidth="1"/>
    <col min="98" max="98" width="12.109375" bestFit="1" customWidth="1"/>
    <col min="99" max="99" width="14.88671875" bestFit="1" customWidth="1"/>
    <col min="100" max="100" width="12.88671875" bestFit="1" customWidth="1"/>
    <col min="101" max="101" width="15.6640625" bestFit="1" customWidth="1"/>
    <col min="102" max="102" width="14.88671875" bestFit="1" customWidth="1"/>
    <col min="103" max="103" width="12" bestFit="1" customWidth="1"/>
    <col min="104" max="104" width="9.44140625" bestFit="1" customWidth="1"/>
    <col min="105" max="105" width="14.88671875" bestFit="1" customWidth="1"/>
    <col min="106" max="106" width="12" bestFit="1" customWidth="1"/>
    <col min="107" max="107" width="12.109375" bestFit="1" customWidth="1"/>
    <col min="108" max="108" width="14.88671875" bestFit="1" customWidth="1"/>
    <col min="109" max="109" width="14.5546875" bestFit="1" customWidth="1"/>
    <col min="110" max="110" width="17.5546875" bestFit="1" customWidth="1"/>
    <col min="111" max="111" width="14.88671875" bestFit="1" customWidth="1"/>
    <col min="112" max="112" width="12" bestFit="1" customWidth="1"/>
    <col min="113" max="113" width="10.33203125" bestFit="1" customWidth="1"/>
    <col min="114" max="114" width="14.88671875" bestFit="1" customWidth="1"/>
    <col min="115" max="115" width="11.33203125" bestFit="1" customWidth="1"/>
    <col min="116" max="117" width="11.44140625" bestFit="1" customWidth="1"/>
    <col min="118" max="118" width="11.33203125" bestFit="1" customWidth="1"/>
  </cols>
  <sheetData>
    <row r="2" spans="1:2" x14ac:dyDescent="0.3">
      <c r="A2" s="10" t="s">
        <v>17</v>
      </c>
      <c r="B2" t="s">
        <v>22</v>
      </c>
    </row>
    <row r="4" spans="1:2" x14ac:dyDescent="0.3">
      <c r="A4" s="10" t="s">
        <v>121</v>
      </c>
      <c r="B4" s="11" t="s">
        <v>122</v>
      </c>
    </row>
    <row r="5" spans="1:2" x14ac:dyDescent="0.3">
      <c r="A5" s="1" t="s">
        <v>125</v>
      </c>
      <c r="B5" s="11">
        <v>65862</v>
      </c>
    </row>
    <row r="6" spans="1:2" x14ac:dyDescent="0.3">
      <c r="A6" s="14" t="s">
        <v>46</v>
      </c>
      <c r="B6" s="11">
        <v>204</v>
      </c>
    </row>
    <row r="7" spans="1:2" x14ac:dyDescent="0.3">
      <c r="A7" s="14" t="s">
        <v>49</v>
      </c>
      <c r="B7" s="11">
        <v>877</v>
      </c>
    </row>
    <row r="8" spans="1:2" x14ac:dyDescent="0.3">
      <c r="A8" s="14" t="s">
        <v>53</v>
      </c>
      <c r="B8" s="11">
        <v>1311</v>
      </c>
    </row>
    <row r="9" spans="1:2" x14ac:dyDescent="0.3">
      <c r="A9" s="14" t="s">
        <v>41</v>
      </c>
      <c r="B9" s="11">
        <v>2161</v>
      </c>
    </row>
    <row r="10" spans="1:2" x14ac:dyDescent="0.3">
      <c r="A10" s="14" t="s">
        <v>51</v>
      </c>
      <c r="B10" s="11">
        <v>3159</v>
      </c>
    </row>
    <row r="11" spans="1:2" x14ac:dyDescent="0.3">
      <c r="A11" s="14" t="s">
        <v>25</v>
      </c>
      <c r="B11" s="11">
        <v>9376</v>
      </c>
    </row>
    <row r="12" spans="1:2" x14ac:dyDescent="0.3">
      <c r="A12" s="14" t="s">
        <v>48</v>
      </c>
      <c r="B12" s="11">
        <v>10000</v>
      </c>
    </row>
    <row r="13" spans="1:2" x14ac:dyDescent="0.3">
      <c r="A13" s="14" t="s">
        <v>55</v>
      </c>
      <c r="B13" s="11">
        <v>14715</v>
      </c>
    </row>
    <row r="14" spans="1:2" x14ac:dyDescent="0.3">
      <c r="A14" s="14" t="s">
        <v>29</v>
      </c>
      <c r="B14" s="11">
        <v>24059</v>
      </c>
    </row>
    <row r="15" spans="1:2" x14ac:dyDescent="0.3">
      <c r="A15" s="1" t="s">
        <v>123</v>
      </c>
      <c r="B15" s="11">
        <v>65862</v>
      </c>
    </row>
  </sheetData>
  <pageMargins left="0.7" right="0.7" top="0.75" bottom="0.75" header="0.3" footer="0.3"/>
  <drawing r:id="rId2"/>
  <extLst>
    <ext xmlns:x14="http://schemas.microsoft.com/office/spreadsheetml/2009/9/main" uri="{A8765BA9-456A-4dab-B4F3-ACF838C121DE}">
      <x14:slicerList>
        <x14:slicer r:id="rId3"/>
      </x14:slicerList>
    </ext>
  </extLs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7</vt:i4>
      </vt:variant>
      <vt:variant>
        <vt:lpstr>Named Ranges</vt:lpstr>
      </vt:variant>
      <vt:variant>
        <vt:i4>17</vt:i4>
      </vt:variant>
    </vt:vector>
  </HeadingPairs>
  <TitlesOfParts>
    <vt:vector size="24" baseType="lpstr">
      <vt:lpstr>Dashboard</vt:lpstr>
      <vt:lpstr>Data</vt:lpstr>
      <vt:lpstr>Settings</vt:lpstr>
      <vt:lpstr>Pie - total IN.OUT</vt:lpstr>
      <vt:lpstr>Line - total IN.OUT</vt:lpstr>
      <vt:lpstr>Bar - cat. by month</vt:lpstr>
      <vt:lpstr>Bar - monthly expense</vt:lpstr>
      <vt:lpstr>Beauty</vt:lpstr>
      <vt:lpstr>Dog</vt:lpstr>
      <vt:lpstr>Expense</vt:lpstr>
      <vt:lpstr>Fashion</vt:lpstr>
      <vt:lpstr>Food</vt:lpstr>
      <vt:lpstr>Gifts</vt:lpstr>
      <vt:lpstr>Health</vt:lpstr>
      <vt:lpstr>Housing</vt:lpstr>
      <vt:lpstr>Income</vt:lpstr>
      <vt:lpstr>Investments</vt:lpstr>
      <vt:lpstr>Lifestyle</vt:lpstr>
      <vt:lpstr>Salary</vt:lpstr>
      <vt:lpstr>Subscriptions</vt:lpstr>
      <vt:lpstr>Transportation</vt:lpstr>
      <vt:lpstr>Travel</vt:lpstr>
      <vt:lpstr>Utilities</vt:lpstr>
      <vt:lpstr>Wants</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Karolina Opasik</dc:creator>
  <cp:keywords/>
  <dc:description/>
  <cp:lastModifiedBy>Karolina Opasik</cp:lastModifiedBy>
  <cp:revision/>
  <dcterms:created xsi:type="dcterms:W3CDTF">2024-03-21T09:21:36Z</dcterms:created>
  <dcterms:modified xsi:type="dcterms:W3CDTF">2024-06-17T07:46:35Z</dcterms:modified>
  <cp:category/>
  <cp:contentStatus/>
</cp:coreProperties>
</file>